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ake_100" sheetId="1" state="visible" r:id="rId1"/>
    <sheet name="Funnel" sheetId="2" state="visible" r:id="rId2"/>
    <sheet name="Supply_Tracks" sheetId="3" state="visible" r:id="rId3"/>
    <sheet name="Preliminary_Calls" sheetId="4" state="visible" r:id="rId4"/>
    <sheet name="Data_Dictionary" sheetId="5" state="visible" r:id="rId5"/>
    <sheet name="Methodology" sheetId="6" state="visible" r:id="rId6"/>
  </sheets>
  <definedNames>
    <definedName name="_xlnm._FilterDatabase" localSheetId="0" hidden="1">'Intake_100'!$A$1:$AV$101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Historical Intake Funnel</a:t>
            </a:r>
          </a:p>
        </rich>
      </tx>
    </title>
    <plotArea>
      <barChart>
        <barDir val="col"/>
        <grouping val="clustered"/>
        <ser>
          <idx val="0"/>
          <order val="0"/>
          <spPr>
            <a:ln>
              <a:prstDash val="solid"/>
            </a:ln>
          </spPr>
          <cat>
            <numRef>
              <f>'Funnel'!$A$2:$A$11</f>
            </numRef>
          </cat>
          <val>
            <numRef>
              <f>'Funnel'!$B$2:$B$11</f>
            </numRef>
          </val>
        </ser>
        <gapWidth val="150"/>
        <axId val="10"/>
        <axId val="100"/>
      </barChart>
      <catAx>
        <axId val="10"/>
        <scaling>
          <orientation val="minMax"/>
        </scaling>
        <axPos val="l"/>
        <title>
          <tx>
            <rich>
              <a:bodyPr/>
              <a:p>
                <a:pPr>
                  <a:defRPr/>
                </a:pPr>
                <a:r>
                  <a:t>Stage</a:t>
                </a:r>
              </a:p>
            </rich>
          </tx>
        </title>
        <majorTickMark val="none"/>
        <minorTickMark val="none"/>
        <crossAx val="100"/>
        <lblOffset val="100"/>
      </catAx>
      <valAx>
        <axId val="100"/>
        <scaling>
          <orientation val="minMax"/>
        </scaling>
        <axPos val="l"/>
        <majorGridlines/>
        <title>
          <tx>
            <rich>
              <a:bodyPr/>
              <a:p>
                <a:pPr>
                  <a:defRPr/>
                </a:pPr>
                <a:r>
                  <a:t>Records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V10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4" customWidth="1" min="3" max="3"/>
    <col width="45" customWidth="1" min="4" max="4"/>
    <col width="24" customWidth="1" min="5" max="5"/>
    <col width="12" customWidth="1" min="6" max="6"/>
    <col width="18" customWidth="1" min="7" max="7"/>
    <col width="28" customWidth="1" min="8" max="8"/>
    <col width="28" customWidth="1" min="9" max="9"/>
    <col width="30" customWidth="1" min="10" max="10"/>
    <col width="45" customWidth="1" min="11" max="11"/>
    <col width="65" customWidth="1" min="12" max="12"/>
    <col width="12" customWidth="1" min="13" max="13"/>
    <col width="12" customWidth="1" min="14" max="14"/>
    <col width="26" customWidth="1" min="15" max="15"/>
    <col width="20" customWidth="1" min="16" max="16"/>
    <col width="24" customWidth="1" min="17" max="17"/>
    <col width="32" customWidth="1" min="18" max="18"/>
    <col width="35" customWidth="1" min="19" max="19"/>
    <col width="35" customWidth="1" min="20" max="20"/>
    <col width="28" customWidth="1" min="21" max="21"/>
    <col width="25" customWidth="1" min="22" max="22"/>
    <col width="20" customWidth="1" min="23" max="23"/>
    <col width="24" customWidth="1" min="24" max="24"/>
    <col width="45" customWidth="1" min="25" max="25"/>
    <col width="32" customWidth="1" min="26" max="26"/>
    <col width="16" customWidth="1" min="27" max="27"/>
    <col width="20" customWidth="1" min="28" max="28"/>
    <col width="20" customWidth="1" min="29" max="29"/>
    <col width="28" customWidth="1" min="30" max="30"/>
    <col width="24" customWidth="1" min="31" max="31"/>
    <col width="30" customWidth="1" min="32" max="32"/>
    <col width="30" customWidth="1" min="33" max="33"/>
    <col width="24" customWidth="1" min="34" max="34"/>
    <col width="32" customWidth="1" min="35" max="35"/>
    <col width="36" customWidth="1" min="36" max="36"/>
    <col width="26" customWidth="1" min="37" max="37"/>
    <col width="22" customWidth="1" min="38" max="38"/>
    <col width="24" customWidth="1" min="39" max="39"/>
    <col width="22" customWidth="1" min="40" max="40"/>
    <col width="18" customWidth="1" min="41" max="41"/>
    <col width="18" customWidth="1" min="42" max="42"/>
    <col width="22" customWidth="1" min="43" max="43"/>
    <col width="34" customWidth="1" min="44" max="44"/>
    <col width="24" customWidth="1" min="45" max="45"/>
    <col width="18" customWidth="1" min="46" max="46"/>
    <col width="70" customWidth="1" min="47" max="47"/>
    <col width="18" customWidth="1" min="48" max="48"/>
  </cols>
  <sheetData>
    <row r="1" ht="42" customHeight="1">
      <c r="A1" s="1" t="inlineStr">
        <is>
          <t>Intake ID</t>
        </is>
      </c>
      <c r="B1" s="1" t="inlineStr">
        <is>
          <t>Notice ID</t>
        </is>
      </c>
      <c r="C1" s="1" t="inlineStr">
        <is>
          <t>Solicitation Number</t>
        </is>
      </c>
      <c r="D1" s="1" t="inlineStr">
        <is>
          <t>Historical Source URL</t>
        </is>
      </c>
      <c r="E1" s="1" t="inlineStr">
        <is>
          <t>Notice Type</t>
        </is>
      </c>
      <c r="F1" s="1" t="inlineStr">
        <is>
          <t>Posted Date</t>
        </is>
      </c>
      <c r="G1" s="1" t="inlineStr">
        <is>
          <t>Original Response Deadline</t>
        </is>
      </c>
      <c r="H1" s="1" t="inlineStr">
        <is>
          <t>Agency</t>
        </is>
      </c>
      <c r="I1" s="1" t="inlineStr">
        <is>
          <t>Subagency</t>
        </is>
      </c>
      <c r="J1" s="1" t="inlineStr">
        <is>
          <t>Contracting Office</t>
        </is>
      </c>
      <c r="K1" s="1" t="inlineStr">
        <is>
          <t>Title</t>
        </is>
      </c>
      <c r="L1" s="1" t="inlineStr">
        <is>
          <t>Description</t>
        </is>
      </c>
      <c r="M1" s="1" t="inlineStr">
        <is>
          <t>NAICS</t>
        </is>
      </c>
      <c r="N1" s="1" t="inlineStr">
        <is>
          <t>PSC</t>
        </is>
      </c>
      <c r="O1" s="1" t="inlineStr">
        <is>
          <t>Set-Aside Type</t>
        </is>
      </c>
      <c r="P1" s="1" t="inlineStr">
        <is>
          <t>Estimated Value</t>
        </is>
      </c>
      <c r="Q1" s="1" t="inlineStr">
        <is>
          <t>Product or Service</t>
        </is>
      </c>
      <c r="R1" s="1" t="inlineStr">
        <is>
          <t>Supply Track</t>
        </is>
      </c>
      <c r="S1" s="1" t="inlineStr">
        <is>
          <t>Place of Performance</t>
        </is>
      </c>
      <c r="T1" s="1" t="inlineStr">
        <is>
          <t>Delivery Destination</t>
        </is>
      </c>
      <c r="U1" s="1" t="inlineStr">
        <is>
          <t>Attachments Available</t>
        </is>
      </c>
      <c r="V1" s="1" t="inlineStr">
        <is>
          <t>Amendments Available</t>
        </is>
      </c>
      <c r="W1" s="1" t="inlineStr">
        <is>
          <t>Q&amp;A Available</t>
        </is>
      </c>
      <c r="X1" s="1" t="inlineStr">
        <is>
          <t>Award Outcome Available</t>
        </is>
      </c>
      <c r="Y1" s="1" t="inlineStr">
        <is>
          <t>Award Notice URL</t>
        </is>
      </c>
      <c r="Z1" s="1" t="inlineStr">
        <is>
          <t>Awardee</t>
        </is>
      </c>
      <c r="AA1" s="1" t="inlineStr">
        <is>
          <t>Award Amount</t>
        </is>
      </c>
      <c r="AB1" s="1" t="inlineStr">
        <is>
          <t>Award Type</t>
        </is>
      </c>
      <c r="AC1" s="1" t="inlineStr">
        <is>
          <t>Parent Award ID</t>
        </is>
      </c>
      <c r="AD1" s="1" t="inlineStr">
        <is>
          <t>Open Competitive Path</t>
        </is>
      </c>
      <c r="AE1" s="1" t="inlineStr">
        <is>
          <t>Parent Vehicle Required</t>
        </is>
      </c>
      <c r="AF1" s="1" t="inlineStr">
        <is>
          <t>Could GGG Compete At Time</t>
        </is>
      </c>
      <c r="AG1" s="1" t="inlineStr">
        <is>
          <t>Mandatory-Source Status</t>
        </is>
      </c>
      <c r="AH1" s="1" t="inlineStr">
        <is>
          <t>AbilityOne Status</t>
        </is>
      </c>
      <c r="AI1" s="1" t="inlineStr">
        <is>
          <t>Product-Exclusion Result</t>
        </is>
      </c>
      <c r="AJ1" s="1" t="inlineStr">
        <is>
          <t>Requirement Completeness</t>
        </is>
      </c>
      <c r="AK1" s="1" t="inlineStr">
        <is>
          <t>Payment-Method Evidence</t>
        </is>
      </c>
      <c r="AL1" s="1" t="inlineStr">
        <is>
          <t>Preliminary Supplier Exposure</t>
        </is>
      </c>
      <c r="AM1" s="1" t="inlineStr">
        <is>
          <t>Exposure Classification</t>
        </is>
      </c>
      <c r="AN1" s="1" t="inlineStr">
        <is>
          <t>Preliminary Probable Net</t>
        </is>
      </c>
      <c r="AO1" s="1" t="inlineStr">
        <is>
          <t>Preliminary Accessibility Score</t>
        </is>
      </c>
      <c r="AP1" s="1" t="inlineStr">
        <is>
          <t>Preliminary Kickoff Fit Score</t>
        </is>
      </c>
      <c r="AQ1" s="1" t="inlineStr">
        <is>
          <t>Preliminary Baseball Call</t>
        </is>
      </c>
      <c r="AR1" s="1" t="inlineStr">
        <is>
          <t>Primary Failure Point</t>
        </is>
      </c>
      <c r="AS1" s="1" t="inlineStr">
        <is>
          <t>Intake Decision</t>
        </is>
      </c>
      <c r="AT1" s="1" t="inlineStr">
        <is>
          <t>Confidence</t>
        </is>
      </c>
      <c r="AU1" s="1" t="inlineStr">
        <is>
          <t>Notes</t>
        </is>
      </c>
      <c r="AV1" s="1" t="inlineStr">
        <is>
          <t>Source Extract Row</t>
        </is>
      </c>
    </row>
    <row r="2">
      <c r="A2" s="2" t="inlineStr">
        <is>
          <t>HOS01-001</t>
        </is>
      </c>
      <c r="B2" s="2" t="inlineStr">
        <is>
          <t>f2af28d1579c4ab3ba51daae04df0180</t>
        </is>
      </c>
      <c r="C2" s="2" t="inlineStr">
        <is>
          <t>FA7146-21-S-C-0001</t>
        </is>
      </c>
      <c r="D2" s="2" t="inlineStr">
        <is>
          <t>https://sam.gov/workspace/contract/opp/f2af28d1579c4ab3ba51daae04df0180/view</t>
        </is>
      </c>
      <c r="E2" s="2" t="inlineStr">
        <is>
          <t>Solicitation</t>
        </is>
      </c>
      <c r="F2" s="2" t="inlineStr">
        <is>
          <t>2023-09-08</t>
        </is>
      </c>
      <c r="G2" s="2" t="inlineStr">
        <is>
          <t>2024-09-30</t>
        </is>
      </c>
      <c r="H2" s="2" t="inlineStr">
        <is>
          <t>DEPT OF DEFENSE</t>
        </is>
      </c>
      <c r="I2" s="2" t="inlineStr">
        <is>
          <t>DEPT OF THE AIR FORCE</t>
        </is>
      </c>
      <c r="J2" s="2" t="inlineStr">
        <is>
          <t>FA7146  SAF OC PK</t>
        </is>
      </c>
      <c r="K2" s="2" t="inlineStr">
        <is>
          <t>SAF/CDM Commercial Solutions Opening</t>
        </is>
      </c>
      <c r="L2" s="2" t="inlineStr">
        <is>
          <t>Secretary of the Air Force Concepts Development and Management (SAF/CDM), Commercial Solutions Opening (CSO) FA7146-21-S-C001 for Defense-related activities CSO DESCRIPTION / OBJECTIVES. Federal Agency Name. Secretary of the Air Force Concepts Development and Management (SAF/CDM), Commercial Solutions Opening (CSO) Summary FA7146-21-S-C001 Title: CDM Defense-related activities Type: Closed/Open Two-Step CSO with Calls Open Period: Initiation to 1 September 2022 (for receipt of White Papers) Ordering Period: Initiation to 30 September 2022 (for awards) The CSO Closed Period will be from initiation to 26 April 2021 The CSO Open Period will be from 26 April 2021 until rescinded. This is the period during which Contractors may submit White Papers. The Government may make awards throughout the Ordering Period until rescinded. Awarded efforts may include performance that proceeds beyond the end of the Ordering Period. Purpose. This CSO is initiated under the Defense Commercial Solutions Offering Pilot Program (DARS Tracking Number: 2018-O0016), as authorized by Section 879 of the NDAA for FY17 (Pub. L. 114-328). CSOs allow for competitive selection of innovative commercial items, technologies, and services if the award results from: �� A CSO that is general in nature identifying areas of mission or technical interest, including criteria for selecting proposals and soliciting the participation of all Contractors capable of satisfying the Government's needs �� A technical evaluation by subject matter/technical experts. A CSO may be used to award a contract or an Other Transaction that meets the definition of innovative as: any technology, process or method, including research and development, that is new as of the date of proposal submission; or any new application of an existi</t>
        </is>
      </c>
      <c r="M2" s="2" t="inlineStr">
        <is>
          <t>541990</t>
        </is>
      </c>
      <c r="N2" s="2" t="inlineStr">
        <is>
          <t>AC32</t>
        </is>
      </c>
      <c r="O2" s="2" t="inlineStr"/>
      <c r="P2" s="2" t="inlineStr">
        <is>
          <t>Unknown pre-award; historical award retained only as answer key when mapped</t>
        </is>
      </c>
      <c r="Q2" s="2" t="inlineStr">
        <is>
          <t>Product / commercial supply candidate</t>
        </is>
      </c>
      <c r="R2" s="2" t="inlineStr">
        <is>
          <t>Office and facility consumables</t>
        </is>
      </c>
      <c r="S2" s="2" t="inlineStr">
        <is>
          <t>USA</t>
        </is>
      </c>
      <c r="T2" s="2" t="inlineStr">
        <is>
          <t>USA</t>
        </is>
      </c>
      <c r="U2" s="2" t="inlineStr">
        <is>
          <t>Direct notice/resource lookup required</t>
        </is>
      </c>
      <c r="V2" s="2" t="inlineStr">
        <is>
          <t>Yes — 2 notice version(s)</t>
        </is>
      </c>
      <c r="W2" s="2" t="inlineStr">
        <is>
          <t>Unknown — archive retrieval required</t>
        </is>
      </c>
      <c r="X2" s="2" t="inlineStr">
        <is>
          <t>Not yet recovered</t>
        </is>
      </c>
      <c r="Y2" s="2" t="inlineStr"/>
      <c r="Z2" s="2" t="inlineStr"/>
      <c r="AA2" s="2" t="inlineStr"/>
      <c r="AB2" s="2" t="inlineStr"/>
      <c r="AC2" s="2" t="inlineStr">
        <is>
          <t>No parent vehicle indicated at solicitation intake; verify clauses</t>
        </is>
      </c>
      <c r="AD2" s="2" t="inlineStr">
        <is>
          <t>Potentially yes — direct solicitation or combined notice</t>
        </is>
      </c>
      <c r="AE2" s="2" t="inlineStr">
        <is>
          <t>No evidence in metadata; verify solicitation</t>
        </is>
      </c>
      <c r="AF2" s="2" t="inlineStr">
        <is>
          <t>Potentially yes — subject to historical SAM registration and representations</t>
        </is>
      </c>
      <c r="AG2" s="2" t="inlineStr">
        <is>
          <t>No conflict detected in metadata; exact product review required</t>
        </is>
      </c>
      <c r="AH2" s="2" t="inlineStr">
        <is>
          <t>Exact product/NSN review required</t>
        </is>
      </c>
      <c r="AI2" s="2" t="inlineStr">
        <is>
          <t>Pass / no automatic exclusion detected</t>
        </is>
      </c>
      <c r="AJ2" s="2" t="inlineStr">
        <is>
          <t>Promising metadata; archive requirements review required</t>
        </is>
      </c>
      <c r="AK2" s="2" t="inlineStr">
        <is>
          <t>Unknown — never infer from award amount</t>
        </is>
      </c>
      <c r="AL2" s="2" t="inlineStr">
        <is>
          <t>Not modeled before archive and supplier-pricing gates</t>
        </is>
      </c>
      <c r="AM2" s="2" t="inlineStr">
        <is>
          <t>Unclassified pending requirements and sourcing</t>
        </is>
      </c>
      <c r="AN2" s="2" t="inlineStr">
        <is>
          <t>Not modeled before supplier pricing</t>
        </is>
      </c>
      <c r="AO2" s="2" t="inlineStr">
        <is>
          <t>90</t>
        </is>
      </c>
      <c r="AP2" s="2" t="inlineStr">
        <is>
          <t>75</t>
        </is>
      </c>
      <c r="AQ2" s="2" t="inlineStr">
        <is>
          <t>Home Run</t>
        </is>
      </c>
      <c r="AR2" s="2" t="inlineStr">
        <is>
          <t>Passes Gates 1-6 preliminarily; Gate 7 archive review pending</t>
        </is>
      </c>
      <c r="AS2" s="2" t="inlineStr">
        <is>
          <t>REVIEW — archive reconstruction</t>
        </is>
      </c>
      <c r="AT2" s="2" t="inlineStr">
        <is>
          <t>Moderate — official extract metadata; direct archive review pending</t>
        </is>
      </c>
      <c r="AU2" s="2" t="inlineStr">
        <is>
          <t>Selection role: Target-lane candidate. Solicitation family contains 2 notice version(s): f2af28d1579c4ab3ba51daae04df0180; 8745db5d79bd43ed88dee88ced4ab10f. Representative notice chosen by detail score, not outcome. Historical award mapping did not control selection.</t>
        </is>
      </c>
      <c r="AV2" s="2" t="inlineStr">
        <is>
          <t>68331</t>
        </is>
      </c>
    </row>
    <row r="3">
      <c r="A3" s="2" t="inlineStr">
        <is>
          <t>HOS01-002</t>
        </is>
      </c>
      <c r="B3" s="2" t="inlineStr">
        <is>
          <t>bffca48be63a496094ad9488e6511bed</t>
        </is>
      </c>
      <c r="C3" s="2" t="inlineStr">
        <is>
          <t>129J6124Q7000</t>
        </is>
      </c>
      <c r="D3" s="2" t="inlineStr">
        <is>
          <t>https://sam.gov/workspace/contract/opp/bffca48be63a496094ad9488e6511bed/view</t>
        </is>
      </c>
      <c r="E3" s="2" t="inlineStr">
        <is>
          <t>Solicitation</t>
        </is>
      </c>
      <c r="F3" s="2" t="inlineStr">
        <is>
          <t>2024-02-12</t>
        </is>
      </c>
      <c r="G3" s="2" t="inlineStr">
        <is>
          <t>2024-03-18</t>
        </is>
      </c>
      <c r="H3" s="2" t="inlineStr">
        <is>
          <t>AGRICULTURE, DEPARTMENT OF</t>
        </is>
      </c>
      <c r="I3" s="2" t="inlineStr">
        <is>
          <t>FOREST SERVICE</t>
        </is>
      </c>
      <c r="J3" s="2" t="inlineStr">
        <is>
          <t>USDA FS</t>
        </is>
      </c>
      <c r="K3" s="2" t="inlineStr">
        <is>
          <t>VIPR I-BPA for Potable &amp; Gray Water Truck/Handwashing Station (Trailer Mounted) for Region 5 - Pacific Southwest Region ONLY</t>
        </is>
      </c>
      <c r="L3" s="2" t="inlineStr">
        <is>
          <t>The Department of Agriculture (USDA), US Forest Service (USFS), ESB West Zone (Region 5 ONLY) anticipate soliciting quotes (RFQ) for Potable &amp; Gray Water Truck/Handwashing Station (Trailer Mounted)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t>
        </is>
      </c>
      <c r="M3" s="2" t="inlineStr">
        <is>
          <t>115310</t>
        </is>
      </c>
      <c r="N3" s="2" t="inlineStr">
        <is>
          <t>F003</t>
        </is>
      </c>
      <c r="O3" s="2" t="inlineStr">
        <is>
          <t>Total Small Business Set-Aside (FAR 19.5)</t>
        </is>
      </c>
      <c r="P3" s="2" t="inlineStr">
        <is>
          <t>Unknown pre-award; historical award retained only as answer key when mapped</t>
        </is>
      </c>
      <c r="Q3" s="2" t="inlineStr">
        <is>
          <t>Product / commercial supply candidate</t>
        </is>
      </c>
      <c r="R3" s="2" t="inlineStr">
        <is>
          <t>Office and facility consumables</t>
        </is>
      </c>
      <c r="S3" s="2" t="inlineStr"/>
      <c r="T3" s="2" t="inlineStr">
        <is>
          <t>Archive review required</t>
        </is>
      </c>
      <c r="U3" s="2" t="inlineStr">
        <is>
          <t>Direct notice/resource lookup required</t>
        </is>
      </c>
      <c r="V3" s="2" t="inlineStr">
        <is>
          <t>Yes — 2 notice version(s)</t>
        </is>
      </c>
      <c r="W3" s="2" t="inlineStr">
        <is>
          <t>Unknown — archive retrieval required</t>
        </is>
      </c>
      <c r="X3" s="2" t="inlineStr">
        <is>
          <t>Not yet recovered</t>
        </is>
      </c>
      <c r="Y3" s="2" t="inlineStr"/>
      <c r="Z3" s="2" t="inlineStr"/>
      <c r="AA3" s="2" t="inlineStr"/>
      <c r="AB3" s="2" t="inlineStr"/>
      <c r="AC3" s="2" t="inlineStr">
        <is>
          <t>No parent vehicle indicated at solicitation intake; verify clauses</t>
        </is>
      </c>
      <c r="AD3" s="2" t="inlineStr">
        <is>
          <t>Potentially yes — direct solicitation or combined notice</t>
        </is>
      </c>
      <c r="AE3" s="2" t="inlineStr">
        <is>
          <t>No evidence in metadata; verify solicitation</t>
        </is>
      </c>
      <c r="AF3" s="2" t="inlineStr">
        <is>
          <t>Potentially yes — subject to historical SAM registration and representations</t>
        </is>
      </c>
      <c r="AG3" s="2" t="inlineStr">
        <is>
          <t>No conflict detected in metadata; exact product review required</t>
        </is>
      </c>
      <c r="AH3" s="2" t="inlineStr">
        <is>
          <t>Exact product/NSN review required</t>
        </is>
      </c>
      <c r="AI3" s="2" t="inlineStr">
        <is>
          <t>Pass / no automatic exclusion detected</t>
        </is>
      </c>
      <c r="AJ3" s="2" t="inlineStr">
        <is>
          <t>Promising metadata; archive requirements review required</t>
        </is>
      </c>
      <c r="AK3" s="2" t="inlineStr">
        <is>
          <t>Unknown — never infer from award amount</t>
        </is>
      </c>
      <c r="AL3" s="2" t="inlineStr">
        <is>
          <t>Not modeled before archive and supplier-pricing gates</t>
        </is>
      </c>
      <c r="AM3" s="2" t="inlineStr">
        <is>
          <t>Unclassified pending requirements and sourcing</t>
        </is>
      </c>
      <c r="AN3" s="2" t="inlineStr">
        <is>
          <t>Not modeled before supplier pricing</t>
        </is>
      </c>
      <c r="AO3" s="2" t="inlineStr">
        <is>
          <t>90</t>
        </is>
      </c>
      <c r="AP3" s="2" t="inlineStr">
        <is>
          <t>75</t>
        </is>
      </c>
      <c r="AQ3" s="2" t="inlineStr">
        <is>
          <t>Home Run</t>
        </is>
      </c>
      <c r="AR3" s="2" t="inlineStr">
        <is>
          <t>Passes Gates 1-6 preliminarily; Gate 7 archive review pending</t>
        </is>
      </c>
      <c r="AS3" s="2" t="inlineStr">
        <is>
          <t>REVIEW — archive reconstruction</t>
        </is>
      </c>
      <c r="AT3" s="2" t="inlineStr">
        <is>
          <t>Moderate — official extract metadata; direct archive review pending</t>
        </is>
      </c>
      <c r="AU3" s="2" t="inlineStr">
        <is>
          <t>Selection role: Target-lane candidate. Solicitation family contains 2 notice version(s): bffca48be63a496094ad9488e6511bed; ec3bedeeb1ee416982667558226c2b90. Representative notice chosen by detail score, not outcome. Historical award mapping did not control selection.</t>
        </is>
      </c>
      <c r="AV3" s="2" t="inlineStr">
        <is>
          <t>67258</t>
        </is>
      </c>
    </row>
    <row r="4">
      <c r="A4" s="2" t="inlineStr">
        <is>
          <t>HOS01-003</t>
        </is>
      </c>
      <c r="B4" s="2" t="inlineStr">
        <is>
          <t>d8518e51604f41cb9d329ccca7415c6c</t>
        </is>
      </c>
      <c r="C4" s="2" t="inlineStr">
        <is>
          <t>12569R24Q7003</t>
        </is>
      </c>
      <c r="D4" s="2" t="inlineStr">
        <is>
          <t>https://sam.gov/workspace/contract/opp/d8518e51604f41cb9d329ccca7415c6c/view</t>
        </is>
      </c>
      <c r="E4" s="2" t="inlineStr">
        <is>
          <t>Solicitation</t>
        </is>
      </c>
      <c r="F4" s="2" t="inlineStr">
        <is>
          <t>2024-02-15</t>
        </is>
      </c>
      <c r="G4" s="2" t="inlineStr">
        <is>
          <t>2024-03-19</t>
        </is>
      </c>
      <c r="H4" s="2" t="inlineStr">
        <is>
          <t>AGRICULTURE, DEPARTMENT OF</t>
        </is>
      </c>
      <c r="I4" s="2" t="inlineStr">
        <is>
          <t>FOREST SERVICE</t>
        </is>
      </c>
      <c r="J4" s="2" t="inlineStr">
        <is>
          <t>USDA-FS PPS INCIDENT PROCUREMENT</t>
        </is>
      </c>
      <c r="K4" s="2" t="inlineStr">
        <is>
          <t>VIPR I-BPA for Chipper for Regions 5 &amp; 6</t>
        </is>
      </c>
      <c r="L4" s="2" t="inlineStr">
        <is>
          <t>The Department of Agriculture (USDA), US Forest Service (USFS) ESB West Zone Regions 5 &amp; 6 anticipate soliciting quotes (RFQ) for Chippers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Government's (Host Agency's) date and time</t>
        </is>
      </c>
      <c r="M4" s="2" t="inlineStr">
        <is>
          <t>115310</t>
        </is>
      </c>
      <c r="N4" s="2" t="inlineStr">
        <is>
          <t>F003</t>
        </is>
      </c>
      <c r="O4" s="2" t="inlineStr">
        <is>
          <t>Total Small Business Set-Aside (FAR 19.5)</t>
        </is>
      </c>
      <c r="P4" s="2" t="inlineStr">
        <is>
          <t>Unknown pre-award; historical award retained only as answer key when mapped</t>
        </is>
      </c>
      <c r="Q4" s="2" t="inlineStr">
        <is>
          <t>Product / commercial supply candidate</t>
        </is>
      </c>
      <c r="R4" s="2" t="inlineStr">
        <is>
          <t>Office and facility consumables</t>
        </is>
      </c>
      <c r="S4" s="2" t="inlineStr"/>
      <c r="T4" s="2" t="inlineStr">
        <is>
          <t>Archive review required</t>
        </is>
      </c>
      <c r="U4" s="2" t="inlineStr">
        <is>
          <t>Direct notice/resource lookup required</t>
        </is>
      </c>
      <c r="V4" s="2" t="inlineStr">
        <is>
          <t>Yes — 2 notice version(s)</t>
        </is>
      </c>
      <c r="W4" s="2" t="inlineStr">
        <is>
          <t>Unknown — archive retrieval required</t>
        </is>
      </c>
      <c r="X4" s="2" t="inlineStr">
        <is>
          <t>Not yet recovered</t>
        </is>
      </c>
      <c r="Y4" s="2" t="inlineStr"/>
      <c r="Z4" s="2" t="inlineStr"/>
      <c r="AA4" s="2" t="inlineStr"/>
      <c r="AB4" s="2" t="inlineStr"/>
      <c r="AC4" s="2" t="inlineStr">
        <is>
          <t>No parent vehicle indicated at solicitation intake; verify clauses</t>
        </is>
      </c>
      <c r="AD4" s="2" t="inlineStr">
        <is>
          <t>Potentially yes — direct solicitation or combined notice</t>
        </is>
      </c>
      <c r="AE4" s="2" t="inlineStr">
        <is>
          <t>No evidence in metadata; verify solicitation</t>
        </is>
      </c>
      <c r="AF4" s="2" t="inlineStr">
        <is>
          <t>Potentially yes — subject to historical SAM registration and representations</t>
        </is>
      </c>
      <c r="AG4" s="2" t="inlineStr">
        <is>
          <t>No conflict detected in metadata; exact product review required</t>
        </is>
      </c>
      <c r="AH4" s="2" t="inlineStr">
        <is>
          <t>Exact product/NSN review required</t>
        </is>
      </c>
      <c r="AI4" s="2" t="inlineStr">
        <is>
          <t>Pass / no automatic exclusion detected</t>
        </is>
      </c>
      <c r="AJ4" s="2" t="inlineStr">
        <is>
          <t>Promising metadata; archive requirements review required</t>
        </is>
      </c>
      <c r="AK4" s="2" t="inlineStr">
        <is>
          <t>Unknown — never infer from award amount</t>
        </is>
      </c>
      <c r="AL4" s="2" t="inlineStr">
        <is>
          <t>Not modeled before archive and supplier-pricing gates</t>
        </is>
      </c>
      <c r="AM4" s="2" t="inlineStr">
        <is>
          <t>Unclassified pending requirements and sourcing</t>
        </is>
      </c>
      <c r="AN4" s="2" t="inlineStr">
        <is>
          <t>Not modeled before supplier pricing</t>
        </is>
      </c>
      <c r="AO4" s="2" t="inlineStr">
        <is>
          <t>90</t>
        </is>
      </c>
      <c r="AP4" s="2" t="inlineStr">
        <is>
          <t>75</t>
        </is>
      </c>
      <c r="AQ4" s="2" t="inlineStr">
        <is>
          <t>Home Run</t>
        </is>
      </c>
      <c r="AR4" s="2" t="inlineStr">
        <is>
          <t>Passes Gates 1-6 preliminarily; Gate 7 archive review pending</t>
        </is>
      </c>
      <c r="AS4" s="2" t="inlineStr">
        <is>
          <t>REVIEW — archive reconstruction</t>
        </is>
      </c>
      <c r="AT4" s="2" t="inlineStr">
        <is>
          <t>Moderate — official extract metadata; direct archive review pending</t>
        </is>
      </c>
      <c r="AU4" s="2" t="inlineStr">
        <is>
          <t>Selection role: Target-lane candidate. Solicitation family contains 2 notice version(s): d8518e51604f41cb9d329ccca7415c6c; 51ddefd5bfc64726926cf65b8ce68fd7. Representative notice chosen by detail score, not outcome. Historical award mapping did not control selection.</t>
        </is>
      </c>
      <c r="AV4" s="2" t="inlineStr">
        <is>
          <t>67233</t>
        </is>
      </c>
    </row>
    <row r="5">
      <c r="A5" s="2" t="inlineStr">
        <is>
          <t>HOS01-004</t>
        </is>
      </c>
      <c r="B5" s="2" t="inlineStr">
        <is>
          <t>13a607ebd952458686dba9eeb0dfc160</t>
        </is>
      </c>
      <c r="C5" s="2" t="inlineStr">
        <is>
          <t>1202SB24Q7014</t>
        </is>
      </c>
      <c r="D5" s="2" t="inlineStr">
        <is>
          <t>https://sam.gov/workspace/contract/opp/13a607ebd952458686dba9eeb0dfc160/view</t>
        </is>
      </c>
      <c r="E5" s="2" t="inlineStr">
        <is>
          <t>Solicitation</t>
        </is>
      </c>
      <c r="F5" s="2" t="inlineStr">
        <is>
          <t>2024-02-02</t>
        </is>
      </c>
      <c r="G5" s="2" t="inlineStr">
        <is>
          <t>2024-03-06</t>
        </is>
      </c>
      <c r="H5" s="2" t="inlineStr">
        <is>
          <t>AGRICULTURE, DEPARTMENT OF</t>
        </is>
      </c>
      <c r="I5" s="2" t="inlineStr">
        <is>
          <t>FOREST SERVICE</t>
        </is>
      </c>
      <c r="J5" s="2" t="inlineStr">
        <is>
          <t>USDA-FS PPS INCIDENT PROCUREMENT</t>
        </is>
      </c>
      <c r="K5" s="2" t="inlineStr">
        <is>
          <t>VIPR I-BPA for Miscellaneous Heavy Equipment for East Zone, Regions 1, 2 and 4</t>
        </is>
      </c>
      <c r="L5" s="2" t="inlineStr">
        <is>
          <t>The Department of Agriculture (USDA), US Forest Service (USFS) East Zone Regions 1, 2, and 4 anticipate soliciting quotes (RFQ) for Miscellaneous Heavy Equipment (Feller Buncher, Mulcher/Masticator, Road Grader, and Skidder)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t>
        </is>
      </c>
      <c r="M5" s="2" t="inlineStr">
        <is>
          <t>115310</t>
        </is>
      </c>
      <c r="N5" s="2" t="inlineStr">
        <is>
          <t>F003</t>
        </is>
      </c>
      <c r="O5" s="2" t="inlineStr">
        <is>
          <t>Total Small Business Set-Aside (FAR 19.5)</t>
        </is>
      </c>
      <c r="P5" s="2" t="inlineStr">
        <is>
          <t>Unknown pre-award; historical award retained only as answer key when mapped</t>
        </is>
      </c>
      <c r="Q5" s="2" t="inlineStr">
        <is>
          <t>Product / commercial supply candidate</t>
        </is>
      </c>
      <c r="R5" s="2" t="inlineStr">
        <is>
          <t>Office and facility consumables</t>
        </is>
      </c>
      <c r="S5" s="2" t="inlineStr"/>
      <c r="T5" s="2" t="inlineStr">
        <is>
          <t>Archive review required</t>
        </is>
      </c>
      <c r="U5" s="2" t="inlineStr">
        <is>
          <t>Direct notice/resource lookup required</t>
        </is>
      </c>
      <c r="V5" s="2" t="inlineStr">
        <is>
          <t>Yes — 3 notice version(s)</t>
        </is>
      </c>
      <c r="W5" s="2" t="inlineStr">
        <is>
          <t>Unknown — archive retrieval required</t>
        </is>
      </c>
      <c r="X5" s="2" t="inlineStr">
        <is>
          <t>Not yet recovered</t>
        </is>
      </c>
      <c r="Y5" s="2" t="inlineStr"/>
      <c r="Z5" s="2" t="inlineStr"/>
      <c r="AA5" s="2" t="inlineStr"/>
      <c r="AB5" s="2" t="inlineStr"/>
      <c r="AC5" s="2" t="inlineStr">
        <is>
          <t>No parent vehicle indicated at solicitation intake; verify clauses</t>
        </is>
      </c>
      <c r="AD5" s="2" t="inlineStr">
        <is>
          <t>Potentially yes — direct solicitation or combined notice</t>
        </is>
      </c>
      <c r="AE5" s="2" t="inlineStr">
        <is>
          <t>No evidence in metadata; verify solicitation</t>
        </is>
      </c>
      <c r="AF5" s="2" t="inlineStr">
        <is>
          <t>Potentially yes — subject to historical SAM registration and representations</t>
        </is>
      </c>
      <c r="AG5" s="2" t="inlineStr">
        <is>
          <t>No conflict detected in metadata; exact product review required</t>
        </is>
      </c>
      <c r="AH5" s="2" t="inlineStr">
        <is>
          <t>Exact product/NSN review required</t>
        </is>
      </c>
      <c r="AI5" s="2" t="inlineStr">
        <is>
          <t>Pass / no automatic exclusion detected</t>
        </is>
      </c>
      <c r="AJ5" s="2" t="inlineStr">
        <is>
          <t>Promising metadata; archive requirements review required</t>
        </is>
      </c>
      <c r="AK5" s="2" t="inlineStr">
        <is>
          <t>Unknown — never infer from award amount</t>
        </is>
      </c>
      <c r="AL5" s="2" t="inlineStr">
        <is>
          <t>Not modeled before archive and supplier-pricing gates</t>
        </is>
      </c>
      <c r="AM5" s="2" t="inlineStr">
        <is>
          <t>Unclassified pending requirements and sourcing</t>
        </is>
      </c>
      <c r="AN5" s="2" t="inlineStr">
        <is>
          <t>Not modeled before supplier pricing</t>
        </is>
      </c>
      <c r="AO5" s="2" t="inlineStr">
        <is>
          <t>90</t>
        </is>
      </c>
      <c r="AP5" s="2" t="inlineStr">
        <is>
          <t>75</t>
        </is>
      </c>
      <c r="AQ5" s="2" t="inlineStr">
        <is>
          <t>Home Run</t>
        </is>
      </c>
      <c r="AR5" s="2" t="inlineStr">
        <is>
          <t>Passes Gates 1-6 preliminarily; Gate 7 archive review pending</t>
        </is>
      </c>
      <c r="AS5" s="2" t="inlineStr">
        <is>
          <t>REVIEW — archive reconstruction</t>
        </is>
      </c>
      <c r="AT5" s="2" t="inlineStr">
        <is>
          <t>Moderate — official extract metadata; direct archive review pending</t>
        </is>
      </c>
      <c r="AU5" s="2" t="inlineStr">
        <is>
          <t>Selection role: Target-lane candidate. Solicitation family contains 3 notice version(s): 13a607ebd952458686dba9eeb0dfc160; e03f7023cec04a1d87307eb666f17181; 34e83d34bd2a4172a0534d040e4c7f74. Representative notice chosen by detail score, not outcome. Historical award mapping did not control selection.</t>
        </is>
      </c>
      <c r="AV5" s="2" t="inlineStr">
        <is>
          <t>67334</t>
        </is>
      </c>
    </row>
    <row r="6">
      <c r="A6" s="2" t="inlineStr">
        <is>
          <t>HOS01-005</t>
        </is>
      </c>
      <c r="B6" s="2" t="inlineStr">
        <is>
          <t>19da7bb695aa4629b262dc3d3909ff97</t>
        </is>
      </c>
      <c r="C6" s="2" t="inlineStr">
        <is>
          <t>12024B24Q7001</t>
        </is>
      </c>
      <c r="D6" s="2" t="inlineStr">
        <is>
          <t>https://sam.gov/workspace/contract/opp/19da7bb695aa4629b262dc3d3909ff97/view</t>
        </is>
      </c>
      <c r="E6" s="2" t="inlineStr">
        <is>
          <t>Solicitation</t>
        </is>
      </c>
      <c r="F6" s="2" t="inlineStr">
        <is>
          <t>2024-02-20</t>
        </is>
      </c>
      <c r="G6" s="2" t="inlineStr">
        <is>
          <t>2024-04-05</t>
        </is>
      </c>
      <c r="H6" s="2" t="inlineStr">
        <is>
          <t>AGRICULTURE, DEPARTMENT OF</t>
        </is>
      </c>
      <c r="I6" s="2" t="inlineStr">
        <is>
          <t>FOREST SERVICE</t>
        </is>
      </c>
      <c r="J6" s="2" t="inlineStr">
        <is>
          <t>USDA FOREST SERVICE</t>
        </is>
      </c>
      <c r="K6" s="2" t="inlineStr">
        <is>
          <t>VIPR I-BPA for Mobile Communications Unit for Region 13 - National</t>
        </is>
      </c>
      <c r="L6" s="2" t="inlineStr">
        <is>
          <t>The Department of Agriculture (USDA), US Forest Service (USFS) National Zone (Regions 1, 2, 3, 4, 5 and 6) is soliciting quotes (RFQ) for Communication Units for use during local, regional, and nationwide fire suppression, all-hazard incidents, and RX Project Work. The USFS Fire and Aviation Management (F&amp;AM) National and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the respective agency?s payment and administrative terms.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t>
        </is>
      </c>
      <c r="M6" s="2" t="inlineStr">
        <is>
          <t>517810</t>
        </is>
      </c>
      <c r="N6" s="2" t="inlineStr">
        <is>
          <t>F003</t>
        </is>
      </c>
      <c r="O6" s="2" t="inlineStr">
        <is>
          <t>Total Small Business Set-Aside (FAR 19.5)</t>
        </is>
      </c>
      <c r="P6" s="2" t="inlineStr">
        <is>
          <t>Unknown pre-award; historical award retained only as answer key when mapped</t>
        </is>
      </c>
      <c r="Q6" s="2" t="inlineStr">
        <is>
          <t>Product / commercial supply candidate</t>
        </is>
      </c>
      <c r="R6" s="2" t="inlineStr">
        <is>
          <t>Office and facility consumables</t>
        </is>
      </c>
      <c r="S6" s="2" t="inlineStr"/>
      <c r="T6" s="2" t="inlineStr">
        <is>
          <t>Archive review required</t>
        </is>
      </c>
      <c r="U6" s="2" t="inlineStr">
        <is>
          <t>Direct notice/resource lookup required</t>
        </is>
      </c>
      <c r="V6" s="2" t="inlineStr">
        <is>
          <t>Yes — 2 notice version(s)</t>
        </is>
      </c>
      <c r="W6" s="2" t="inlineStr">
        <is>
          <t>Unknown — archive retrieval required</t>
        </is>
      </c>
      <c r="X6" s="2" t="inlineStr">
        <is>
          <t>Not yet recovered</t>
        </is>
      </c>
      <c r="Y6" s="2" t="inlineStr"/>
      <c r="Z6" s="2" t="inlineStr"/>
      <c r="AA6" s="2" t="inlineStr"/>
      <c r="AB6" s="2" t="inlineStr"/>
      <c r="AC6" s="2" t="inlineStr">
        <is>
          <t>No parent vehicle indicated at solicitation intake; verify clauses</t>
        </is>
      </c>
      <c r="AD6" s="2" t="inlineStr">
        <is>
          <t>Potentially yes — direct solicitation or combined notice</t>
        </is>
      </c>
      <c r="AE6" s="2" t="inlineStr">
        <is>
          <t>No evidence in metadata; verify solicitation</t>
        </is>
      </c>
      <c r="AF6" s="2" t="inlineStr">
        <is>
          <t>Potentially yes — subject to historical SAM registration and representations</t>
        </is>
      </c>
      <c r="AG6" s="2" t="inlineStr">
        <is>
          <t>No conflict detected in metadata; exact product review required</t>
        </is>
      </c>
      <c r="AH6" s="2" t="inlineStr">
        <is>
          <t>Exact product/NSN review required</t>
        </is>
      </c>
      <c r="AI6" s="2" t="inlineStr">
        <is>
          <t>Pass / no automatic exclusion detected</t>
        </is>
      </c>
      <c r="AJ6" s="2" t="inlineStr">
        <is>
          <t>Promising metadata; archive requirements review required</t>
        </is>
      </c>
      <c r="AK6" s="2" t="inlineStr">
        <is>
          <t>Unknown — never infer from award amount</t>
        </is>
      </c>
      <c r="AL6" s="2" t="inlineStr">
        <is>
          <t>Not modeled before archive and supplier-pricing gates</t>
        </is>
      </c>
      <c r="AM6" s="2" t="inlineStr">
        <is>
          <t>Unclassified pending requirements and sourcing</t>
        </is>
      </c>
      <c r="AN6" s="2" t="inlineStr">
        <is>
          <t>Not modeled before supplier pricing</t>
        </is>
      </c>
      <c r="AO6" s="2" t="inlineStr">
        <is>
          <t>90</t>
        </is>
      </c>
      <c r="AP6" s="2" t="inlineStr">
        <is>
          <t>75</t>
        </is>
      </c>
      <c r="AQ6" s="2" t="inlineStr">
        <is>
          <t>Home Run</t>
        </is>
      </c>
      <c r="AR6" s="2" t="inlineStr">
        <is>
          <t>Passes Gates 1-6 preliminarily; Gate 7 archive review pending</t>
        </is>
      </c>
      <c r="AS6" s="2" t="inlineStr">
        <is>
          <t>REVIEW — archive reconstruction</t>
        </is>
      </c>
      <c r="AT6" s="2" t="inlineStr">
        <is>
          <t>Moderate — official extract metadata; direct archive review pending</t>
        </is>
      </c>
      <c r="AU6" s="2" t="inlineStr">
        <is>
          <t>Selection role: Target-lane candidate. Solicitation family contains 2 notice version(s): 19da7bb695aa4629b262dc3d3909ff97; c64dbac628ac4a9fae4d844ca9a55de2. Representative notice chosen by detail score, not outcome. Historical award mapping did not control selection.</t>
        </is>
      </c>
      <c r="AV6" s="2" t="inlineStr">
        <is>
          <t>67211</t>
        </is>
      </c>
    </row>
    <row r="7">
      <c r="A7" s="2" t="inlineStr">
        <is>
          <t>HOS01-006</t>
        </is>
      </c>
      <c r="B7" s="2" t="inlineStr">
        <is>
          <t>6308648904b64524b0cf37259396e38e</t>
        </is>
      </c>
      <c r="C7" s="2" t="inlineStr">
        <is>
          <t>HDTRA122S0002</t>
        </is>
      </c>
      <c r="D7" s="2" t="inlineStr">
        <is>
          <t>https://sam.gov/workspace/contract/opp/6308648904b64524b0cf37259396e38e/view</t>
        </is>
      </c>
      <c r="E7" s="2" t="inlineStr">
        <is>
          <t>Solicitation</t>
        </is>
      </c>
      <c r="F7" s="2" t="inlineStr">
        <is>
          <t>2023-03-21</t>
        </is>
      </c>
      <c r="G7" s="2" t="inlineStr">
        <is>
          <t>2022-08-16</t>
        </is>
      </c>
      <c r="H7" s="2" t="inlineStr">
        <is>
          <t>DEPT OF DEFENSE</t>
        </is>
      </c>
      <c r="I7" s="2" t="inlineStr">
        <is>
          <t>DEFENSE THREAT REDUCTION AGENCY (DTRA)</t>
        </is>
      </c>
      <c r="J7" s="2" t="inlineStr">
        <is>
          <t>DEFENSE THREAT REDUCTION AGENCY</t>
        </is>
      </c>
      <c r="K7" s="2" t="inlineStr">
        <is>
          <t>FY2022-2026 DTRA Chemical / Biological Technologies Broad Agency Announcement</t>
        </is>
      </c>
      <c r="L7" s="2" t="inlineStr">
        <is>
          <t>UPDATED AUGUST 30, 2024: TOPIC CALL 5, QUESTIONS &amp; ANSWERS (Q and A_Ph II) UPDATED AUGUST 30, 2024: TOPIC CALL 4, QUESTIONS &amp; ANSWERS (Q and A_Ph II) UPDATED JUNE 6, 2024: TOPIC CALL 5, QUESTIONS &amp; ANSWERS (Q and A_PhI) UPDATED MAY 10, 2024: TOPIC CALL 4, QUESTIONS &amp; ANSWERS (Q and A_Ph I) UPDATED APRIL 30, 2024: TOPIC CALL 5 THE DEADLINE TO SUBMIT QUESTIONS RELATED TO THE TOPIC INCLUDED IN TOPIC CALL 5 IS MAY 14, 2024. THE DEADLINE TO SUBMIT A PROPOSAL FOR THE TOPIC INCLUDED IN TOPIC CALL 5 IS JUNE 25, 2024 AT 2:00PM EDT. UPDATED APRIL 1, 2024: TOPIC CALL 4 THE DEADLINE TO SUBMIT QUESTIONS RELATED TO TOPICS INCLUDED IN TOPIC CALL 4 IS APRIL 16, 2024. THE DEADLINE TO SUBMIT A PROPOSAL FOR TOPICS INCLUDED IN TOPIC CALL 4 IS MAY 29, 2024 AT 2:00PM EDT. UPDATED SEPTEMBER 29, 2023: TOPIC CALL 3, QUESTIONS &amp; ANSWERS (Q and A) UPDATED SEPTEMBER 6, 2023: TOPIC CALL 3 THE DEADLINE TO SUBMIT QUESTIONS RELATED TO TOPICS INCLUDED IN TOPIC CALL 3 IS SEPTEMBER 18, 2023. THE DEADLINE TO SUBMIT A PROPOSAL FOR TOPICS INCLUDED IN TOPIC CALL 3 IS OCTOBER 26, 2023 AT 2:00PM EDT. UPDATED AUGUST 14, 2023: TOPIC CALL 2, QUESTIONS &amp; ANSWERS (Q and A_Ph II) UPDATED APRIL 24, 2023: TOPIC CALL 2, QUESTIONS &amp; ANSWERS (Q and A_Ph I) UPDATED MARCH 21, 2023: TOPIC CALL 2 THE DEADLINE TO SUBMIT QUESTIONS RELATED TO TOPICS INCLUDED IN TOPIC CALL 2 IS MARCH 28, 2023. THE DEADLINE TO SUBMIT A PHASE I PROPOSAL FOR TOPICS INCLUDED IN TOPIC CALL 2 IS MAY 10, 2023 AT 2:00PM EDT. UPDATED NOV 10, 2022: TOPIC CALL 1, QUESTIONS &amp; ANSWERS (Q and A_Ph II) The purpose of this BAA is to serve as a five-year (60-month) open continuous vehicle through which topics will be released as individual calls as they become available during the BAA open period. This BAA will remain open for five years from the date of release</t>
        </is>
      </c>
      <c r="M7" s="2" t="inlineStr">
        <is>
          <t>5417</t>
        </is>
      </c>
      <c r="N7" s="2" t="inlineStr">
        <is>
          <t>AC32</t>
        </is>
      </c>
      <c r="O7" s="2" t="inlineStr"/>
      <c r="P7" s="2" t="inlineStr">
        <is>
          <t>Unknown pre-award; historical award retained only as answer key when mapped</t>
        </is>
      </c>
      <c r="Q7" s="2" t="inlineStr">
        <is>
          <t>Product / commercial supply candidate</t>
        </is>
      </c>
      <c r="R7" s="2" t="inlineStr">
        <is>
          <t>Office and facility consumables</t>
        </is>
      </c>
      <c r="S7" s="2" t="inlineStr"/>
      <c r="T7" s="2" t="inlineStr">
        <is>
          <t>Archive review required</t>
        </is>
      </c>
      <c r="U7" s="2" t="inlineStr">
        <is>
          <t>Direct notice/resource lookup required</t>
        </is>
      </c>
      <c r="V7" s="2" t="inlineStr">
        <is>
          <t>Yes — 12 notice version(s)</t>
        </is>
      </c>
      <c r="W7" s="2" t="inlineStr">
        <is>
          <t>Unknown — archive retrieval required</t>
        </is>
      </c>
      <c r="X7" s="2" t="inlineStr">
        <is>
          <t>Not yet recovered</t>
        </is>
      </c>
      <c r="Y7" s="2" t="inlineStr"/>
      <c r="Z7" s="2" t="inlineStr"/>
      <c r="AA7" s="2" t="inlineStr"/>
      <c r="AB7" s="2" t="inlineStr"/>
      <c r="AC7" s="2" t="inlineStr">
        <is>
          <t>No parent vehicle indicated at solicitation intake; verify clauses</t>
        </is>
      </c>
      <c r="AD7" s="2" t="inlineStr">
        <is>
          <t>Potentially yes — direct solicitation or combined notice</t>
        </is>
      </c>
      <c r="AE7" s="2" t="inlineStr">
        <is>
          <t>No evidence in metadata; verify solicitation</t>
        </is>
      </c>
      <c r="AF7" s="2" t="inlineStr">
        <is>
          <t>Potentially yes — subject to historical SAM registration and representations</t>
        </is>
      </c>
      <c r="AG7" s="2" t="inlineStr">
        <is>
          <t>No conflict detected in metadata; exact product review required</t>
        </is>
      </c>
      <c r="AH7" s="2" t="inlineStr">
        <is>
          <t>Exact product/NSN review required</t>
        </is>
      </c>
      <c r="AI7" s="2" t="inlineStr">
        <is>
          <t>Pass / no automatic exclusion detected</t>
        </is>
      </c>
      <c r="AJ7" s="2" t="inlineStr">
        <is>
          <t>Promising metadata; archive requirements review required</t>
        </is>
      </c>
      <c r="AK7" s="2" t="inlineStr">
        <is>
          <t>Unknown — never infer from award amount</t>
        </is>
      </c>
      <c r="AL7" s="2" t="inlineStr">
        <is>
          <t>Not modeled before archive and supplier-pricing gates</t>
        </is>
      </c>
      <c r="AM7" s="2" t="inlineStr">
        <is>
          <t>Unclassified pending requirements and sourcing</t>
        </is>
      </c>
      <c r="AN7" s="2" t="inlineStr">
        <is>
          <t>Not modeled before supplier pricing</t>
        </is>
      </c>
      <c r="AO7" s="2" t="inlineStr">
        <is>
          <t>90</t>
        </is>
      </c>
      <c r="AP7" s="2" t="inlineStr">
        <is>
          <t>75</t>
        </is>
      </c>
      <c r="AQ7" s="2" t="inlineStr">
        <is>
          <t>Home Run</t>
        </is>
      </c>
      <c r="AR7" s="2" t="inlineStr">
        <is>
          <t>Passes Gates 1-6 preliminarily; Gate 7 archive review pending</t>
        </is>
      </c>
      <c r="AS7" s="2" t="inlineStr">
        <is>
          <t>REVIEW — archive reconstruction</t>
        </is>
      </c>
      <c r="AT7" s="2" t="inlineStr">
        <is>
          <t>Moderate — official extract metadata; direct archive review pending</t>
        </is>
      </c>
      <c r="AU7" s="2" t="inlineStr">
        <is>
          <t>Selection role: Target-lane candidate. Solicitation family contains 12 notice version(s): 7e06d38a7ce94f3a956566393e369f68; da47cb84996e4b3b92cdfcabfff013ed; a68b571a39f34339a8402cd198ebd703; 3af51490b5af4eba83f74e6ab7b5dbfb; 2546eaba0cb44af0a8ddca8774d95a38; b3c58c23cc2b425897a976f85367b308; d2befe2aecc64f0fafde77583681f447; b4682a86a0ae4faa91d7e2c16b06cd57; ae3915eeb0fd42d5ba41380faa8b2f40; 83294ea428b547d58c081359fa192c9d; e55fc2d014b24061ac3d5db74f627b33; 6308648904b64524b0cf37259396e38e. Representative notice chosen by detail score, not outcome. Historical award mapping did not control selection.</t>
        </is>
      </c>
      <c r="AV7" s="2" t="inlineStr">
        <is>
          <t>65574</t>
        </is>
      </c>
    </row>
    <row r="8">
      <c r="A8" s="2" t="inlineStr">
        <is>
          <t>HOS01-007</t>
        </is>
      </c>
      <c r="B8" s="2" t="inlineStr">
        <is>
          <t>dc0ea0cec39c45e9acf790532e6ba929</t>
        </is>
      </c>
      <c r="C8" s="2" t="inlineStr">
        <is>
          <t>12024B24Q7002</t>
        </is>
      </c>
      <c r="D8" s="2" t="inlineStr">
        <is>
          <t>https://sam.gov/workspace/contract/opp/dc0ea0cec39c45e9acf790532e6ba929/view</t>
        </is>
      </c>
      <c r="E8" s="2" t="inlineStr">
        <is>
          <t>Solicitation</t>
        </is>
      </c>
      <c r="F8" s="2" t="inlineStr">
        <is>
          <t>2024-02-20</t>
        </is>
      </c>
      <c r="G8" s="2" t="inlineStr">
        <is>
          <t>2024-04-05</t>
        </is>
      </c>
      <c r="H8" s="2" t="inlineStr">
        <is>
          <t>AGRICULTURE, DEPARTMENT OF</t>
        </is>
      </c>
      <c r="I8" s="2" t="inlineStr">
        <is>
          <t>FOREST SERVICE</t>
        </is>
      </c>
      <c r="J8" s="2" t="inlineStr">
        <is>
          <t>USDA FOREST SERVICE</t>
        </is>
      </c>
      <c r="K8" s="2" t="inlineStr">
        <is>
          <t>VIPR I-BPA for Helicopter Operations Support Unit for Region 13 - National</t>
        </is>
      </c>
      <c r="L8" s="2" t="inlineStr">
        <is>
          <t>The Department of Agriculture (USDA), US Forest Service (USFS) National Zone (Regions 1, 2, 3, 4, 5 and 6) is soliciting quotes (RFQ) for Helicopter Operations Support Units for use during local, regional, and nationwide fire suppression, all-hazard incidents, and RX Project Work. The USFS Fire and Aviation Management (F&amp;AM) National and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t>
        </is>
      </c>
      <c r="M8" s="2" t="inlineStr">
        <is>
          <t>488190</t>
        </is>
      </c>
      <c r="N8" s="2" t="inlineStr">
        <is>
          <t>F003</t>
        </is>
      </c>
      <c r="O8" s="2" t="inlineStr">
        <is>
          <t>Total Small Business Set-Aside (FAR 19.5)</t>
        </is>
      </c>
      <c r="P8" s="2" t="inlineStr">
        <is>
          <t>Unknown pre-award; historical award retained only as answer key when mapped</t>
        </is>
      </c>
      <c r="Q8" s="2" t="inlineStr">
        <is>
          <t>Product / commercial supply candidate</t>
        </is>
      </c>
      <c r="R8" s="2" t="inlineStr">
        <is>
          <t>Office and facility consumables</t>
        </is>
      </c>
      <c r="S8" s="2" t="inlineStr"/>
      <c r="T8" s="2" t="inlineStr">
        <is>
          <t>Archive review required</t>
        </is>
      </c>
      <c r="U8" s="2" t="inlineStr">
        <is>
          <t>Direct notice/resource lookup required</t>
        </is>
      </c>
      <c r="V8" s="2" t="inlineStr">
        <is>
          <t>Yes — 2 notice version(s)</t>
        </is>
      </c>
      <c r="W8" s="2" t="inlineStr">
        <is>
          <t>Unknown — archive retrieval required</t>
        </is>
      </c>
      <c r="X8" s="2" t="inlineStr">
        <is>
          <t>Not yet recovered</t>
        </is>
      </c>
      <c r="Y8" s="2" t="inlineStr"/>
      <c r="Z8" s="2" t="inlineStr"/>
      <c r="AA8" s="2" t="inlineStr"/>
      <c r="AB8" s="2" t="inlineStr"/>
      <c r="AC8" s="2" t="inlineStr">
        <is>
          <t>No parent vehicle indicated at solicitation intake; verify clauses</t>
        </is>
      </c>
      <c r="AD8" s="2" t="inlineStr">
        <is>
          <t>Potentially yes — direct solicitation or combined notice</t>
        </is>
      </c>
      <c r="AE8" s="2" t="inlineStr">
        <is>
          <t>No evidence in metadata; verify solicitation</t>
        </is>
      </c>
      <c r="AF8" s="2" t="inlineStr">
        <is>
          <t>Potentially yes — subject to historical SAM registration and representations</t>
        </is>
      </c>
      <c r="AG8" s="2" t="inlineStr">
        <is>
          <t>No conflict detected in metadata; exact product review required</t>
        </is>
      </c>
      <c r="AH8" s="2" t="inlineStr">
        <is>
          <t>Exact product/NSN review required</t>
        </is>
      </c>
      <c r="AI8" s="2" t="inlineStr">
        <is>
          <t>Pass / no automatic exclusion detected</t>
        </is>
      </c>
      <c r="AJ8" s="2" t="inlineStr">
        <is>
          <t>Promising metadata; archive requirements review required</t>
        </is>
      </c>
      <c r="AK8" s="2" t="inlineStr">
        <is>
          <t>Unknown — never infer from award amount</t>
        </is>
      </c>
      <c r="AL8" s="2" t="inlineStr">
        <is>
          <t>Not modeled before archive and supplier-pricing gates</t>
        </is>
      </c>
      <c r="AM8" s="2" t="inlineStr">
        <is>
          <t>Unclassified pending requirements and sourcing</t>
        </is>
      </c>
      <c r="AN8" s="2" t="inlineStr">
        <is>
          <t>Not modeled before supplier pricing</t>
        </is>
      </c>
      <c r="AO8" s="2" t="inlineStr">
        <is>
          <t>90</t>
        </is>
      </c>
      <c r="AP8" s="2" t="inlineStr">
        <is>
          <t>75</t>
        </is>
      </c>
      <c r="AQ8" s="2" t="inlineStr">
        <is>
          <t>Home Run</t>
        </is>
      </c>
      <c r="AR8" s="2" t="inlineStr">
        <is>
          <t>Passes Gates 1-6 preliminarily; Gate 7 archive review pending</t>
        </is>
      </c>
      <c r="AS8" s="2" t="inlineStr">
        <is>
          <t>REVIEW — archive reconstruction</t>
        </is>
      </c>
      <c r="AT8" s="2" t="inlineStr">
        <is>
          <t>Moderate — official extract metadata; direct archive review pending</t>
        </is>
      </c>
      <c r="AU8" s="2" t="inlineStr">
        <is>
          <t>Selection role: Target-lane candidate. Solicitation family contains 2 notice version(s): dc0ea0cec39c45e9acf790532e6ba929; 8e004054e5584a739767ab409d590a60. Representative notice chosen by detail score, not outcome. Historical award mapping did not control selection.</t>
        </is>
      </c>
      <c r="AV8" s="2" t="inlineStr">
        <is>
          <t>67210</t>
        </is>
      </c>
    </row>
    <row r="9">
      <c r="A9" s="2" t="inlineStr">
        <is>
          <t>HOS01-008</t>
        </is>
      </c>
      <c r="B9" s="2" t="inlineStr">
        <is>
          <t>485f371b7c45438eb3b04f6111cd5e44</t>
        </is>
      </c>
      <c r="C9" s="2" t="inlineStr">
        <is>
          <t>HTC711-22-R-C003</t>
        </is>
      </c>
      <c r="D9" s="2" t="inlineStr">
        <is>
          <t>https://sam.gov/workspace/contract/opp/485f371b7c45438eb3b04f6111cd5e44/view</t>
        </is>
      </c>
      <c r="E9" s="2" t="inlineStr">
        <is>
          <t>Solicitation</t>
        </is>
      </c>
      <c r="F9" s="2" t="inlineStr">
        <is>
          <t>2023-10-24</t>
        </is>
      </c>
      <c r="G9" s="2" t="inlineStr">
        <is>
          <t>2022-03-24</t>
        </is>
      </c>
      <c r="H9" s="2" t="inlineStr">
        <is>
          <t>DEPT OF DEFENSE</t>
        </is>
      </c>
      <c r="I9" s="2" t="inlineStr">
        <is>
          <t>US TRANSPORTATION COMMAND (USTRANSCOM)</t>
        </is>
      </c>
      <c r="J9" s="2" t="inlineStr">
        <is>
          <t>USTRANSCOM-AQ</t>
        </is>
      </c>
      <c r="K9" s="2" t="inlineStr">
        <is>
          <t>Next Generation Delivery Services (NGDS 2) - HTC711-22-R-C003; Solicitation</t>
        </is>
      </c>
      <c r="L9" s="2" t="inlineStr">
        <is>
          <t>Next Generation Delivery Service-2 (NGDS-2) The Contractor shall provide international and domestic commercial express package door-to-door delivery service for the United States (U.S.) Federal Government and Cost Reimbursable Contractors. International shipments may weigh up to and include 300 lbs. Domestic shipments may weigh up to and include 150 lbs. within the Continental United States (CONUS) and up to and include 300 lbs. between CONUS and Alaska, Hawaii, and Puerto Rico, and within Alaska, Hawaii, and Puerto Rico. Both international and domestic service require time-definite, door-to-door pick-up and delivery, transportation, timely and accurate intransit visibility (ITV), and customs clearance processing (if applicable). The period of performance will consist of one four-year base period effective 1 October 2022 through 30 September 2026 with one four-year option period effective 1 October 2026 through 30 September 2030 and an additional six-month option period to extend services 1 October 2030 through 31 March 2031, if necessary. To receive an award under the NGDS acquisition, the prime contractor will be required to participate in the Civil Reserve Air Fleet (CRAF) program at time of proposal submittal and maintain CRAF status throughout the duration of the contract. A class Justification and Approval (J&amp;A) document encompassing this program, which authorizes other than full and open competition, was approved on 22 October 2021. All responsible sources may submit a bid, proposal, or quotation which shall be considered by the agency. It is the Government�s intent to award multiple Indefinite Delivery Indefinite Quantity (IDIQ) contracts for International Transportation Services and approximately up to five IDIQ contracts for Domestic Transportation Services to</t>
        </is>
      </c>
      <c r="M9" s="2" t="inlineStr">
        <is>
          <t>492110</t>
        </is>
      </c>
      <c r="N9" s="2" t="inlineStr">
        <is>
          <t>V111</t>
        </is>
      </c>
      <c r="O9" s="2" t="inlineStr"/>
      <c r="P9" s="2" t="inlineStr">
        <is>
          <t>Unknown pre-award; historical award retained only as answer key when mapped</t>
        </is>
      </c>
      <c r="Q9" s="2" t="inlineStr">
        <is>
          <t>Product / commercial supply candidate</t>
        </is>
      </c>
      <c r="R9" s="2" t="inlineStr">
        <is>
          <t>Office and facility consumables</t>
        </is>
      </c>
      <c r="S9" s="2" t="inlineStr">
        <is>
          <t>USA</t>
        </is>
      </c>
      <c r="T9" s="2" t="inlineStr">
        <is>
          <t>USA</t>
        </is>
      </c>
      <c r="U9" s="2" t="inlineStr">
        <is>
          <t>Direct notice/resource lookup required</t>
        </is>
      </c>
      <c r="V9" s="2" t="inlineStr">
        <is>
          <t>Yes — 2 notice version(s)</t>
        </is>
      </c>
      <c r="W9" s="2" t="inlineStr">
        <is>
          <t>Unknown — archive retrieval required</t>
        </is>
      </c>
      <c r="X9" s="2" t="inlineStr">
        <is>
          <t>Not yet recovered</t>
        </is>
      </c>
      <c r="Y9" s="2" t="inlineStr"/>
      <c r="Z9" s="2" t="inlineStr"/>
      <c r="AA9" s="2" t="inlineStr"/>
      <c r="AB9" s="2" t="inlineStr"/>
      <c r="AC9" s="2" t="inlineStr">
        <is>
          <t>No parent vehicle indicated at solicitation intake; verify clauses</t>
        </is>
      </c>
      <c r="AD9" s="2" t="inlineStr">
        <is>
          <t>Potentially yes — direct solicitation or combined notice</t>
        </is>
      </c>
      <c r="AE9" s="2" t="inlineStr">
        <is>
          <t>No evidence in metadata; verify solicitation</t>
        </is>
      </c>
      <c r="AF9" s="2" t="inlineStr">
        <is>
          <t>Potentially yes — subject to historical SAM registration and representations</t>
        </is>
      </c>
      <c r="AG9" s="2" t="inlineStr">
        <is>
          <t>No conflict detected in metadata; exact product review required</t>
        </is>
      </c>
      <c r="AH9" s="2" t="inlineStr">
        <is>
          <t>Exact product/NSN review required</t>
        </is>
      </c>
      <c r="AI9" s="2" t="inlineStr">
        <is>
          <t>Pass / no automatic exclusion detected</t>
        </is>
      </c>
      <c r="AJ9" s="2" t="inlineStr">
        <is>
          <t>Promising metadata; archive requirements review required</t>
        </is>
      </c>
      <c r="AK9" s="2" t="inlineStr">
        <is>
          <t>Unknown — never infer from award amount</t>
        </is>
      </c>
      <c r="AL9" s="2" t="inlineStr">
        <is>
          <t>Not modeled before archive and supplier-pricing gates</t>
        </is>
      </c>
      <c r="AM9" s="2" t="inlineStr">
        <is>
          <t>Unclassified pending requirements and sourcing</t>
        </is>
      </c>
      <c r="AN9" s="2" t="inlineStr">
        <is>
          <t>Not modeled before supplier pricing</t>
        </is>
      </c>
      <c r="AO9" s="2" t="inlineStr">
        <is>
          <t>90</t>
        </is>
      </c>
      <c r="AP9" s="2" t="inlineStr">
        <is>
          <t>75</t>
        </is>
      </c>
      <c r="AQ9" s="2" t="inlineStr">
        <is>
          <t>Home Run</t>
        </is>
      </c>
      <c r="AR9" s="2" t="inlineStr">
        <is>
          <t>Passes Gates 1-6 preliminarily; Gate 7 archive review pending</t>
        </is>
      </c>
      <c r="AS9" s="2" t="inlineStr">
        <is>
          <t>REVIEW — archive reconstruction</t>
        </is>
      </c>
      <c r="AT9" s="2" t="inlineStr">
        <is>
          <t>Moderate — official extract metadata; direct archive review pending</t>
        </is>
      </c>
      <c r="AU9" s="2" t="inlineStr">
        <is>
          <t>Selection role: Target-lane candidate. Solicitation family contains 2 notice version(s): 485f371b7c45438eb3b04f6111cd5e44; 86aa014023ee4837acf7bf1be7de9cca. Representative notice chosen by detail score, not outcome. Historical award mapping did not control selection.</t>
        </is>
      </c>
      <c r="AV9" s="2" t="inlineStr">
        <is>
          <t>68047</t>
        </is>
      </c>
    </row>
    <row r="10">
      <c r="A10" s="2" t="inlineStr">
        <is>
          <t>HOS01-009</t>
        </is>
      </c>
      <c r="B10" s="2" t="inlineStr">
        <is>
          <t>7f39d9a5f4744cd6b8d44872a3886c85</t>
        </is>
      </c>
      <c r="C10" s="2" t="inlineStr">
        <is>
          <t>1202SB24Q7017</t>
        </is>
      </c>
      <c r="D10" s="2" t="inlineStr">
        <is>
          <t>https://sam.gov/workspace/contract/opp/7f39d9a5f4744cd6b8d44872a3886c85/view</t>
        </is>
      </c>
      <c r="E10" s="2" t="inlineStr">
        <is>
          <t>Solicitation</t>
        </is>
      </c>
      <c r="F10" s="2" t="inlineStr">
        <is>
          <t>2024-02-16</t>
        </is>
      </c>
      <c r="G10" s="2" t="inlineStr">
        <is>
          <t>2024-03-19</t>
        </is>
      </c>
      <c r="H10" s="2" t="inlineStr">
        <is>
          <t>AGRICULTURE, DEPARTMENT OF</t>
        </is>
      </c>
      <c r="I10" s="2" t="inlineStr">
        <is>
          <t>FOREST SERVICE</t>
        </is>
      </c>
      <c r="J10" s="2" t="inlineStr">
        <is>
          <t>USDA-FS PPS INCIDENT PROCUREMENT</t>
        </is>
      </c>
      <c r="K10" s="2" t="inlineStr">
        <is>
          <t>VIPR I-BPA for Chipper for East Zone (Regions 1, 2, and 4)</t>
        </is>
      </c>
      <c r="L10" s="2" t="inlineStr">
        <is>
          <t>The Department of Agriculture (USDA), US Forest Service (USFS), Equipment and Services Branch East Zone (Regions 1, 2, and 4) anticipate soliciting quotes (RFQ) for ?Chippers for use during local, regional, and nationwide fire suppression and all-hazard incidents.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Government's (Host Agency's) date and time needed for emergency</t>
        </is>
      </c>
      <c r="M10" s="2" t="inlineStr">
        <is>
          <t>115310</t>
        </is>
      </c>
      <c r="N10" s="2" t="inlineStr">
        <is>
          <t>F003</t>
        </is>
      </c>
      <c r="O10" s="2" t="inlineStr">
        <is>
          <t>Total Small Business Set-Aside (FAR 19.5)</t>
        </is>
      </c>
      <c r="P10" s="2" t="inlineStr">
        <is>
          <t>Unknown pre-award; historical award retained only as answer key when mapped</t>
        </is>
      </c>
      <c r="Q10" s="2" t="inlineStr">
        <is>
          <t>Product / commercial supply candidate</t>
        </is>
      </c>
      <c r="R10" s="2" t="inlineStr">
        <is>
          <t>Office and facility consumables</t>
        </is>
      </c>
      <c r="S10" s="2" t="inlineStr"/>
      <c r="T10" s="2" t="inlineStr">
        <is>
          <t>Archive review required</t>
        </is>
      </c>
      <c r="U10" s="2" t="inlineStr">
        <is>
          <t>Direct notice/resource lookup required</t>
        </is>
      </c>
      <c r="V10" s="2" t="inlineStr">
        <is>
          <t>Yes — 2 notice version(s)</t>
        </is>
      </c>
      <c r="W10" s="2" t="inlineStr">
        <is>
          <t>Unknown — archive retrieval required</t>
        </is>
      </c>
      <c r="X10" s="2" t="inlineStr">
        <is>
          <t>Not yet recovered</t>
        </is>
      </c>
      <c r="Y10" s="2" t="inlineStr"/>
      <c r="Z10" s="2" t="inlineStr"/>
      <c r="AA10" s="2" t="inlineStr"/>
      <c r="AB10" s="2" t="inlineStr"/>
      <c r="AC10" s="2" t="inlineStr">
        <is>
          <t>No parent vehicle indicated at solicitation intake; verify clauses</t>
        </is>
      </c>
      <c r="AD10" s="2" t="inlineStr">
        <is>
          <t>Potentially yes — direct solicitation or combined notice</t>
        </is>
      </c>
      <c r="AE10" s="2" t="inlineStr">
        <is>
          <t>No evidence in metadata; verify solicitation</t>
        </is>
      </c>
      <c r="AF10" s="2" t="inlineStr">
        <is>
          <t>Potentially yes — subject to historical SAM registration and representations</t>
        </is>
      </c>
      <c r="AG10" s="2" t="inlineStr">
        <is>
          <t>No conflict detected in metadata; exact product review required</t>
        </is>
      </c>
      <c r="AH10" s="2" t="inlineStr">
        <is>
          <t>Exact product/NSN review required</t>
        </is>
      </c>
      <c r="AI10" s="2" t="inlineStr">
        <is>
          <t>Pass / no automatic exclusion detected</t>
        </is>
      </c>
      <c r="AJ10" s="2" t="inlineStr">
        <is>
          <t>Promising metadata; archive requirements review required</t>
        </is>
      </c>
      <c r="AK10" s="2" t="inlineStr">
        <is>
          <t>Unknown — never infer from award amount</t>
        </is>
      </c>
      <c r="AL10" s="2" t="inlineStr">
        <is>
          <t>Not modeled before archive and supplier-pricing gates</t>
        </is>
      </c>
      <c r="AM10" s="2" t="inlineStr">
        <is>
          <t>Unclassified pending requirements and sourcing</t>
        </is>
      </c>
      <c r="AN10" s="2" t="inlineStr">
        <is>
          <t>Not modeled before supplier pricing</t>
        </is>
      </c>
      <c r="AO10" s="2" t="inlineStr">
        <is>
          <t>90</t>
        </is>
      </c>
      <c r="AP10" s="2" t="inlineStr">
        <is>
          <t>75</t>
        </is>
      </c>
      <c r="AQ10" s="2" t="inlineStr">
        <is>
          <t>Home Run</t>
        </is>
      </c>
      <c r="AR10" s="2" t="inlineStr">
        <is>
          <t>Passes Gates 1-6 preliminarily; Gate 7 archive review pending</t>
        </is>
      </c>
      <c r="AS10" s="2" t="inlineStr">
        <is>
          <t>REVIEW — archive reconstruction</t>
        </is>
      </c>
      <c r="AT10" s="2" t="inlineStr">
        <is>
          <t>Moderate — official extract metadata; direct archive review pending</t>
        </is>
      </c>
      <c r="AU10" s="2" t="inlineStr">
        <is>
          <t>Selection role: Target-lane candidate. Solicitation family contains 2 notice version(s): 7f39d9a5f4744cd6b8d44872a3886c85; 41c58e3a90e2484b9dc675ddbfcb6535. Representative notice chosen by detail score, not outcome. Historical award mapping did not control selection.</t>
        </is>
      </c>
      <c r="AV10" s="2" t="inlineStr">
        <is>
          <t>67221</t>
        </is>
      </c>
    </row>
    <row r="11">
      <c r="A11" s="2" t="inlineStr">
        <is>
          <t>HOS01-010</t>
        </is>
      </c>
      <c r="B11" s="2" t="inlineStr">
        <is>
          <t>a1b0f70742d54d1a8233a26f48265d74</t>
        </is>
      </c>
      <c r="C11" s="2" t="inlineStr">
        <is>
          <t>1204H124Q7000</t>
        </is>
      </c>
      <c r="D11" s="2" t="inlineStr">
        <is>
          <t>https://sam.gov/workspace/contract/opp/a1b0f70742d54d1a8233a26f48265d74/view</t>
        </is>
      </c>
      <c r="E11" s="2" t="inlineStr">
        <is>
          <t>Solicitation</t>
        </is>
      </c>
      <c r="F11" s="2" t="inlineStr">
        <is>
          <t>2024-02-12</t>
        </is>
      </c>
      <c r="G11" s="2" t="inlineStr">
        <is>
          <t>2024-03-18</t>
        </is>
      </c>
      <c r="H11" s="2" t="inlineStr">
        <is>
          <t>AGRICULTURE, DEPARTMENT OF</t>
        </is>
      </c>
      <c r="I11" s="2" t="inlineStr">
        <is>
          <t>FOREST SERVICE</t>
        </is>
      </c>
      <c r="J11" s="2" t="inlineStr">
        <is>
          <t>PACIFIC NORTHWEST REGIONAL OFFICE</t>
        </is>
      </c>
      <c r="K11" s="2" t="inlineStr">
        <is>
          <t>VIPR I-BPA for West Zone Potable &amp; Gray Water Truck/Handwashing Station (Trailer Mounted) for Region 6 - Pacific Northwest Region ONLY</t>
        </is>
      </c>
      <c r="L11" s="2" t="inlineStr">
        <is>
          <t>The Department of Agriculture (USDA), US Forest Service (USFS), ESB West Zone (Region 6 ONLY) anticipate soliciting quotes (RFQ) for Potable &amp; Gray Water Truck/Handwashing Station (Trailer Mounted)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t>
        </is>
      </c>
      <c r="M11" s="2" t="inlineStr">
        <is>
          <t>115310</t>
        </is>
      </c>
      <c r="N11" s="2" t="inlineStr">
        <is>
          <t>F003</t>
        </is>
      </c>
      <c r="O11" s="2" t="inlineStr">
        <is>
          <t>Total Small Business Set-Aside (FAR 19.5)</t>
        </is>
      </c>
      <c r="P11" s="2" t="inlineStr">
        <is>
          <t>Unknown pre-award; historical award retained only as answer key when mapped</t>
        </is>
      </c>
      <c r="Q11" s="2" t="inlineStr">
        <is>
          <t>Product / commercial supply candidate</t>
        </is>
      </c>
      <c r="R11" s="2" t="inlineStr">
        <is>
          <t>Office and facility consumables</t>
        </is>
      </c>
      <c r="S11" s="2" t="inlineStr"/>
      <c r="T11" s="2" t="inlineStr">
        <is>
          <t>Archive review required</t>
        </is>
      </c>
      <c r="U11" s="2" t="inlineStr">
        <is>
          <t>Direct notice/resource lookup required</t>
        </is>
      </c>
      <c r="V11" s="2" t="inlineStr">
        <is>
          <t>No separate version identified in extract</t>
        </is>
      </c>
      <c r="W11" s="2" t="inlineStr">
        <is>
          <t>Unknown — archive retrieval required</t>
        </is>
      </c>
      <c r="X11" s="2" t="inlineStr">
        <is>
          <t>Not yet recovered</t>
        </is>
      </c>
      <c r="Y11" s="2" t="inlineStr"/>
      <c r="Z11" s="2" t="inlineStr"/>
      <c r="AA11" s="2" t="inlineStr"/>
      <c r="AB11" s="2" t="inlineStr"/>
      <c r="AC11" s="2" t="inlineStr">
        <is>
          <t>No parent vehicle indicated at solicitation intake; verify clauses</t>
        </is>
      </c>
      <c r="AD11" s="2" t="inlineStr">
        <is>
          <t>Potentially yes — direct solicitation or combined notice</t>
        </is>
      </c>
      <c r="AE11" s="2" t="inlineStr">
        <is>
          <t>No evidence in metadata; verify solicitation</t>
        </is>
      </c>
      <c r="AF11" s="2" t="inlineStr">
        <is>
          <t>Potentially yes — subject to historical SAM registration and representations</t>
        </is>
      </c>
      <c r="AG11" s="2" t="inlineStr">
        <is>
          <t>No conflict detected in metadata; exact product review required</t>
        </is>
      </c>
      <c r="AH11" s="2" t="inlineStr">
        <is>
          <t>Exact product/NSN review required</t>
        </is>
      </c>
      <c r="AI11" s="2" t="inlineStr">
        <is>
          <t>Pass / no automatic exclusion detected</t>
        </is>
      </c>
      <c r="AJ11" s="2" t="inlineStr">
        <is>
          <t>Promising metadata; archive requirements review required</t>
        </is>
      </c>
      <c r="AK11" s="2" t="inlineStr">
        <is>
          <t>Unknown — never infer from award amount</t>
        </is>
      </c>
      <c r="AL11" s="2" t="inlineStr">
        <is>
          <t>Not modeled before archive and supplier-pricing gates</t>
        </is>
      </c>
      <c r="AM11" s="2" t="inlineStr">
        <is>
          <t>Unclassified pending requirements and sourcing</t>
        </is>
      </c>
      <c r="AN11" s="2" t="inlineStr">
        <is>
          <t>Not modeled before supplier pricing</t>
        </is>
      </c>
      <c r="AO11" s="2" t="inlineStr">
        <is>
          <t>90</t>
        </is>
      </c>
      <c r="AP11" s="2" t="inlineStr">
        <is>
          <t>75</t>
        </is>
      </c>
      <c r="AQ11" s="2" t="inlineStr">
        <is>
          <t>Home Run</t>
        </is>
      </c>
      <c r="AR11" s="2" t="inlineStr">
        <is>
          <t>Passes Gates 1-6 preliminarily; Gate 7 archive review pending</t>
        </is>
      </c>
      <c r="AS11" s="2" t="inlineStr">
        <is>
          <t>REVIEW — archive reconstruction</t>
        </is>
      </c>
      <c r="AT11" s="2" t="inlineStr">
        <is>
          <t>Moderate — official extract metadata; direct archive review pending</t>
        </is>
      </c>
      <c r="AU11" s="2" t="inlineStr">
        <is>
          <t>Selection role: Target-lane candidate. Solicitation family contains 1 notice version(s): a1b0f70742d54d1a8233a26f48265d74. Representative notice chosen by detail score, not outcome. Historical award mapping did not control selection.</t>
        </is>
      </c>
      <c r="AV11" s="2" t="inlineStr">
        <is>
          <t>67257</t>
        </is>
      </c>
    </row>
    <row r="12">
      <c r="A12" s="2" t="inlineStr">
        <is>
          <t>HOS01-011</t>
        </is>
      </c>
      <c r="B12" s="2" t="inlineStr">
        <is>
          <t>18c34078b1464d8ba85aef23182efe4b</t>
        </is>
      </c>
      <c r="C12" s="2" t="inlineStr">
        <is>
          <t>1202SB24Q7018</t>
        </is>
      </c>
      <c r="D12" s="2" t="inlineStr">
        <is>
          <t>https://sam.gov/workspace/contract/opp/18c34078b1464d8ba85aef23182efe4b/view</t>
        </is>
      </c>
      <c r="E12" s="2" t="inlineStr">
        <is>
          <t>Solicitation</t>
        </is>
      </c>
      <c r="F12" s="2" t="inlineStr">
        <is>
          <t>2024-02-22</t>
        </is>
      </c>
      <c r="G12" s="2" t="inlineStr">
        <is>
          <t>2024-03-22</t>
        </is>
      </c>
      <c r="H12" s="2" t="inlineStr">
        <is>
          <t>AGRICULTURE, DEPARTMENT OF</t>
        </is>
      </c>
      <c r="I12" s="2" t="inlineStr">
        <is>
          <t>FOREST SERVICE</t>
        </is>
      </c>
      <c r="J12" s="2" t="inlineStr">
        <is>
          <t>USDA-FS PPS INCIDENT PROCUREMENT</t>
        </is>
      </c>
      <c r="K12" s="2" t="inlineStr">
        <is>
          <t>VIPR I-BPA for Potable &amp; Gray Water Truck/Handwashing Station (Trailer Mounted) for ESB Regions 1, 2, and 4</t>
        </is>
      </c>
      <c r="L12" s="2" t="inlineStr">
        <is>
          <t>The Department of Agriculture (USDA), US Forest Service (USFS) East Zone (Regions 1, 2, and 4) anticipate soliciting quotes (RFQ) for Potable &amp; Gray Water Truck/Handwashing Station (Trailer Mounted) for use during local, regional, and nationwide fire suppression and all-hazard incidents.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Government's (Host Agency's) date and t</t>
        </is>
      </c>
      <c r="M12" s="2" t="inlineStr">
        <is>
          <t>115310</t>
        </is>
      </c>
      <c r="N12" s="2" t="inlineStr">
        <is>
          <t>F003</t>
        </is>
      </c>
      <c r="O12" s="2" t="inlineStr">
        <is>
          <t>Total Small Business Set-Aside (FAR 19.5)</t>
        </is>
      </c>
      <c r="P12" s="2" t="inlineStr">
        <is>
          <t>Unknown pre-award; historical award retained only as answer key when mapped</t>
        </is>
      </c>
      <c r="Q12" s="2" t="inlineStr">
        <is>
          <t>Product / commercial supply candidate</t>
        </is>
      </c>
      <c r="R12" s="2" t="inlineStr">
        <is>
          <t>Office and facility consumables</t>
        </is>
      </c>
      <c r="S12" s="2" t="inlineStr"/>
      <c r="T12" s="2" t="inlineStr">
        <is>
          <t>Archive review required</t>
        </is>
      </c>
      <c r="U12" s="2" t="inlineStr">
        <is>
          <t>Direct notice/resource lookup required</t>
        </is>
      </c>
      <c r="V12" s="2" t="inlineStr">
        <is>
          <t>No separate version identified in extract</t>
        </is>
      </c>
      <c r="W12" s="2" t="inlineStr">
        <is>
          <t>Unknown — archive retrieval required</t>
        </is>
      </c>
      <c r="X12" s="2" t="inlineStr">
        <is>
          <t>Not yet recovered</t>
        </is>
      </c>
      <c r="Y12" s="2" t="inlineStr"/>
      <c r="Z12" s="2" t="inlineStr"/>
      <c r="AA12" s="2" t="inlineStr"/>
      <c r="AB12" s="2" t="inlineStr"/>
      <c r="AC12" s="2" t="inlineStr">
        <is>
          <t>No parent vehicle indicated at solicitation intake; verify clauses</t>
        </is>
      </c>
      <c r="AD12" s="2" t="inlineStr">
        <is>
          <t>Potentially yes — direct solicitation or combined notice</t>
        </is>
      </c>
      <c r="AE12" s="2" t="inlineStr">
        <is>
          <t>No evidence in metadata; verify solicitation</t>
        </is>
      </c>
      <c r="AF12" s="2" t="inlineStr">
        <is>
          <t>Potentially yes — subject to historical SAM registration and representations</t>
        </is>
      </c>
      <c r="AG12" s="2" t="inlineStr">
        <is>
          <t>No conflict detected in metadata; exact product review required</t>
        </is>
      </c>
      <c r="AH12" s="2" t="inlineStr">
        <is>
          <t>Exact product/NSN review required</t>
        </is>
      </c>
      <c r="AI12" s="2" t="inlineStr">
        <is>
          <t>Pass / no automatic exclusion detected</t>
        </is>
      </c>
      <c r="AJ12" s="2" t="inlineStr">
        <is>
          <t>Promising metadata; archive requirements review required</t>
        </is>
      </c>
      <c r="AK12" s="2" t="inlineStr">
        <is>
          <t>Unknown — never infer from award amount</t>
        </is>
      </c>
      <c r="AL12" s="2" t="inlineStr">
        <is>
          <t>Not modeled before archive and supplier-pricing gates</t>
        </is>
      </c>
      <c r="AM12" s="2" t="inlineStr">
        <is>
          <t>Unclassified pending requirements and sourcing</t>
        </is>
      </c>
      <c r="AN12" s="2" t="inlineStr">
        <is>
          <t>Not modeled before supplier pricing</t>
        </is>
      </c>
      <c r="AO12" s="2" t="inlineStr">
        <is>
          <t>90</t>
        </is>
      </c>
      <c r="AP12" s="2" t="inlineStr">
        <is>
          <t>75</t>
        </is>
      </c>
      <c r="AQ12" s="2" t="inlineStr">
        <is>
          <t>Home Run</t>
        </is>
      </c>
      <c r="AR12" s="2" t="inlineStr">
        <is>
          <t>Passes Gates 1-6 preliminarily; Gate 7 archive review pending</t>
        </is>
      </c>
      <c r="AS12" s="2" t="inlineStr">
        <is>
          <t>REVIEW — archive reconstruction</t>
        </is>
      </c>
      <c r="AT12" s="2" t="inlineStr">
        <is>
          <t>Moderate — official extract metadata; direct archive review pending</t>
        </is>
      </c>
      <c r="AU12" s="2" t="inlineStr">
        <is>
          <t>Selection role: Target-lane candidate. Solicitation family contains 1 notice version(s): 18c34078b1464d8ba85aef23182efe4b. Representative notice chosen by detail score, not outcome. Historical award mapping did not control selection.</t>
        </is>
      </c>
      <c r="AV12" s="2" t="inlineStr">
        <is>
          <t>67196</t>
        </is>
      </c>
    </row>
    <row r="13">
      <c r="A13" s="2" t="inlineStr">
        <is>
          <t>HOS01-012</t>
        </is>
      </c>
      <c r="B13" s="2" t="inlineStr">
        <is>
          <t>234ef15b748746d39b6440b0b111cd36</t>
        </is>
      </c>
      <c r="C13" s="2" t="inlineStr">
        <is>
          <t>1202SB24Q7013</t>
        </is>
      </c>
      <c r="D13" s="2" t="inlineStr">
        <is>
          <t>https://sam.gov/workspace/contract/opp/234ef15b748746d39b6440b0b111cd36/view</t>
        </is>
      </c>
      <c r="E13" s="2" t="inlineStr">
        <is>
          <t>Solicitation</t>
        </is>
      </c>
      <c r="F13" s="2" t="inlineStr">
        <is>
          <t>2024-01-30</t>
        </is>
      </c>
      <c r="G13" s="2" t="inlineStr">
        <is>
          <t>2024-03-04</t>
        </is>
      </c>
      <c r="H13" s="2" t="inlineStr">
        <is>
          <t>AGRICULTURE, DEPARTMENT OF</t>
        </is>
      </c>
      <c r="I13" s="2" t="inlineStr">
        <is>
          <t>FOREST SERVICE</t>
        </is>
      </c>
      <c r="J13" s="2" t="inlineStr">
        <is>
          <t>USDA-FS PPS INCIDENT PROCUREMENT</t>
        </is>
      </c>
      <c r="K13" s="2" t="inlineStr">
        <is>
          <t>VIPR I-BPA for Chipper for Region 3 - East Zone ESB</t>
        </is>
      </c>
      <c r="L13" s="2" t="inlineStr">
        <is>
          <t>The Department of Agriculture (USDA), US Forest Service (USFS) Region 3 anticipates soliciting quotes (RFQ) for Chippers for use during local, regional, and nationwide fire suppression, all-hazard incidents, and RX Project Work.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Government's (Host Agency's) date and time needed for emergency incident support, as well as offer best value to the Government for travel costs for each potential dispatch/BPA Call. Since wildland fire support and locations are unknown at time of award, selection of a host dispatch center/zone outside of where the resources reside may result in loss of opportunity and failure to meet Government's critical and timely need at time of incident. Map link: https://www.nifc.gov/nicc/ SET-ASIDES: The agreement will be competitively awarded. The Government anticipates awarding multiple preseason Incident Blanket Purchase Agreements (I-BPAs) using a total Small Business set asid</t>
        </is>
      </c>
      <c r="M13" s="2" t="inlineStr">
        <is>
          <t>115310</t>
        </is>
      </c>
      <c r="N13" s="2" t="inlineStr">
        <is>
          <t>F003</t>
        </is>
      </c>
      <c r="O13" s="2" t="inlineStr">
        <is>
          <t>Total Small Business Set-Aside (FAR 19.5)</t>
        </is>
      </c>
      <c r="P13" s="2" t="inlineStr">
        <is>
          <t>Unknown pre-award; historical award retained only as answer key when mapped</t>
        </is>
      </c>
      <c r="Q13" s="2" t="inlineStr">
        <is>
          <t>Product / commercial supply candidate</t>
        </is>
      </c>
      <c r="R13" s="2" t="inlineStr">
        <is>
          <t>Office and facility consumables</t>
        </is>
      </c>
      <c r="S13" s="2" t="inlineStr"/>
      <c r="T13" s="2" t="inlineStr">
        <is>
          <t>Archive review required</t>
        </is>
      </c>
      <c r="U13" s="2" t="inlineStr">
        <is>
          <t>Direct notice/resource lookup required</t>
        </is>
      </c>
      <c r="V13" s="2" t="inlineStr">
        <is>
          <t>No separate version identified in extract</t>
        </is>
      </c>
      <c r="W13" s="2" t="inlineStr">
        <is>
          <t>Unknown — archive retrieval required</t>
        </is>
      </c>
      <c r="X13" s="2" t="inlineStr">
        <is>
          <t>Not yet recovered</t>
        </is>
      </c>
      <c r="Y13" s="2" t="inlineStr"/>
      <c r="Z13" s="2" t="inlineStr"/>
      <c r="AA13" s="2" t="inlineStr"/>
      <c r="AB13" s="2" t="inlineStr"/>
      <c r="AC13" s="2" t="inlineStr">
        <is>
          <t>No parent vehicle indicated at solicitation intake; verify clauses</t>
        </is>
      </c>
      <c r="AD13" s="2" t="inlineStr">
        <is>
          <t>Potentially yes — direct solicitation or combined notice</t>
        </is>
      </c>
      <c r="AE13" s="2" t="inlineStr">
        <is>
          <t>No evidence in metadata; verify solicitation</t>
        </is>
      </c>
      <c r="AF13" s="2" t="inlineStr">
        <is>
          <t>Potentially yes — subject to historical SAM registration and representations</t>
        </is>
      </c>
      <c r="AG13" s="2" t="inlineStr">
        <is>
          <t>No conflict detected in metadata; exact product review required</t>
        </is>
      </c>
      <c r="AH13" s="2" t="inlineStr">
        <is>
          <t>Exact product/NSN review required</t>
        </is>
      </c>
      <c r="AI13" s="2" t="inlineStr">
        <is>
          <t>Pass / no automatic exclusion detected</t>
        </is>
      </c>
      <c r="AJ13" s="2" t="inlineStr">
        <is>
          <t>Promising metadata; archive requirements review required</t>
        </is>
      </c>
      <c r="AK13" s="2" t="inlineStr">
        <is>
          <t>Unknown — never infer from award amount</t>
        </is>
      </c>
      <c r="AL13" s="2" t="inlineStr">
        <is>
          <t>Not modeled before archive and supplier-pricing gates</t>
        </is>
      </c>
      <c r="AM13" s="2" t="inlineStr">
        <is>
          <t>Unclassified pending requirements and sourcing</t>
        </is>
      </c>
      <c r="AN13" s="2" t="inlineStr">
        <is>
          <t>Not modeled before supplier pricing</t>
        </is>
      </c>
      <c r="AO13" s="2" t="inlineStr">
        <is>
          <t>90</t>
        </is>
      </c>
      <c r="AP13" s="2" t="inlineStr">
        <is>
          <t>75</t>
        </is>
      </c>
      <c r="AQ13" s="2" t="inlineStr">
        <is>
          <t>Home Run</t>
        </is>
      </c>
      <c r="AR13" s="2" t="inlineStr">
        <is>
          <t>Passes Gates 1-6 preliminarily; Gate 7 archive review pending</t>
        </is>
      </c>
      <c r="AS13" s="2" t="inlineStr">
        <is>
          <t>REVIEW — archive reconstruction</t>
        </is>
      </c>
      <c r="AT13" s="2" t="inlineStr">
        <is>
          <t>Moderate — official extract metadata; direct archive review pending</t>
        </is>
      </c>
      <c r="AU13" s="2" t="inlineStr">
        <is>
          <t>Selection role: Target-lane candidate. Solicitation family contains 1 notice version(s): 234ef15b748746d39b6440b0b111cd36. Representative notice chosen by detail score, not outcome. Historical award mapping did not control selection.</t>
        </is>
      </c>
      <c r="AV13" s="2" t="inlineStr">
        <is>
          <t>67382</t>
        </is>
      </c>
    </row>
    <row r="14">
      <c r="A14" s="2" t="inlineStr">
        <is>
          <t>HOS01-013</t>
        </is>
      </c>
      <c r="B14" s="2" t="inlineStr">
        <is>
          <t>dcb589a38f294a948ce8355b6ac8980f</t>
        </is>
      </c>
      <c r="C14" s="2" t="inlineStr">
        <is>
          <t>12024B24Q7003</t>
        </is>
      </c>
      <c r="D14" s="2" t="inlineStr">
        <is>
          <t>https://sam.gov/workspace/contract/opp/dcb589a38f294a948ce8355b6ac8980f/view</t>
        </is>
      </c>
      <c r="E14" s="2" t="inlineStr">
        <is>
          <t>Solicitation</t>
        </is>
      </c>
      <c r="F14" s="2" t="inlineStr">
        <is>
          <t>2024-03-06</t>
        </is>
      </c>
      <c r="G14" s="2" t="inlineStr">
        <is>
          <t>2024-04-01</t>
        </is>
      </c>
      <c r="H14" s="2" t="inlineStr">
        <is>
          <t>AGRICULTURE, DEPARTMENT OF</t>
        </is>
      </c>
      <c r="I14" s="2" t="inlineStr">
        <is>
          <t>FOREST SERVICE</t>
        </is>
      </c>
      <c r="J14" s="2" t="inlineStr">
        <is>
          <t>USDA FOREST SERVICE</t>
        </is>
      </c>
      <c r="K14" s="2" t="inlineStr">
        <is>
          <t>VIPR I-BPA for Mobile Sleeper Unit for Region 13 - National</t>
        </is>
      </c>
      <c r="L14" s="2" t="inlineStr">
        <is>
          <t>The Department of Agriculture (USDA), United States Forest Service (USFS), anticipates soliciting for Mobile Sleeper Unit services for National Region. The solicitation number is 12024B24Q7003. The purpose of this Request for Quotations (RFQ) and any resultant Agreements is to acquire the service Mobile Sleeper Units for use in Regions 3, 4, 5 &amp; 6. The Agreements will be competitively awarded by Dispatch Centers within the advertised Region. Regional and local awards may not be made to vendors designating resource City and State location more than 450 miles away from their selected Dispatch Center. (D.5.1). Awards resulting from this solicitation will be posted on the VIPR website https://www.fs.usda.gov/business/incident/vendorapp.php?tab=tab_d. The Contractor is responsible for all equipment, materials, supplies, transportation, lodging, trained/certified personnel, and supervision and management of those personnel, necessary to meet or exceed the Agreement specifications. The resources may be used in the protection of lands, to include but not be limited to, severity, fire suppression, prescribed fire and all-hazard incidents. The Incident Commander or responsible Government Representative is authorized to administer the technical aspects of this agreement. The Government anticipates awarding multiple Incident Blanket Purchase Agreements (I-BPA) using a total Small Business set aside under NAICS 115310 ? Support Activities for Forestry. The Small Business size standard is $34 million. Only businesses (with active SAM account verifying advertised NAICS) will be considered for award. If response to the Solicitation is determined to be too low to be advantageous to the Government, no awards will be made. 1) This solicitation will be utilizing the VIPR Vendor Web Applica</t>
        </is>
      </c>
      <c r="M14" s="2" t="inlineStr">
        <is>
          <t>115310</t>
        </is>
      </c>
      <c r="N14" s="2" t="inlineStr">
        <is>
          <t>F003</t>
        </is>
      </c>
      <c r="O14" s="2" t="inlineStr"/>
      <c r="P14" s="2" t="inlineStr">
        <is>
          <t>Unknown pre-award; historical award retained only as answer key when mapped</t>
        </is>
      </c>
      <c r="Q14" s="2" t="inlineStr">
        <is>
          <t>Product / commercial supply candidate</t>
        </is>
      </c>
      <c r="R14" s="2" t="inlineStr">
        <is>
          <t>Office and facility consumables</t>
        </is>
      </c>
      <c r="S14" s="2" t="inlineStr"/>
      <c r="T14" s="2" t="inlineStr">
        <is>
          <t>Archive review required</t>
        </is>
      </c>
      <c r="U14" s="2" t="inlineStr">
        <is>
          <t>Direct notice/resource lookup required</t>
        </is>
      </c>
      <c r="V14" s="2" t="inlineStr">
        <is>
          <t>No separate version identified in extract</t>
        </is>
      </c>
      <c r="W14" s="2" t="inlineStr">
        <is>
          <t>Unknown — archive retrieval required</t>
        </is>
      </c>
      <c r="X14" s="2" t="inlineStr">
        <is>
          <t>Not yet recovered</t>
        </is>
      </c>
      <c r="Y14" s="2" t="inlineStr"/>
      <c r="Z14" s="2" t="inlineStr"/>
      <c r="AA14" s="2" t="inlineStr"/>
      <c r="AB14" s="2" t="inlineStr"/>
      <c r="AC14" s="2" t="inlineStr">
        <is>
          <t>No parent vehicle indicated at solicitation intake; verify clauses</t>
        </is>
      </c>
      <c r="AD14" s="2" t="inlineStr">
        <is>
          <t>Potentially yes — direct solicitation or combined notice</t>
        </is>
      </c>
      <c r="AE14" s="2" t="inlineStr">
        <is>
          <t>No evidence in metadata; verify solicitation</t>
        </is>
      </c>
      <c r="AF14" s="2" t="inlineStr">
        <is>
          <t>Potentially yes — subject to historical SAM registration and representations</t>
        </is>
      </c>
      <c r="AG14" s="2" t="inlineStr">
        <is>
          <t>No conflict detected in metadata; exact product review required</t>
        </is>
      </c>
      <c r="AH14" s="2" t="inlineStr">
        <is>
          <t>Exact product/NSN review required</t>
        </is>
      </c>
      <c r="AI14" s="2" t="inlineStr">
        <is>
          <t>Pass / no automatic exclusion detected</t>
        </is>
      </c>
      <c r="AJ14" s="2" t="inlineStr">
        <is>
          <t>Promising metadata; archive requirements review required</t>
        </is>
      </c>
      <c r="AK14" s="2" t="inlineStr">
        <is>
          <t>Unknown — never infer from award amount</t>
        </is>
      </c>
      <c r="AL14" s="2" t="inlineStr">
        <is>
          <t>Not modeled before archive and supplier-pricing gates</t>
        </is>
      </c>
      <c r="AM14" s="2" t="inlineStr">
        <is>
          <t>Unclassified pending requirements and sourcing</t>
        </is>
      </c>
      <c r="AN14" s="2" t="inlineStr">
        <is>
          <t>Not modeled before supplier pricing</t>
        </is>
      </c>
      <c r="AO14" s="2" t="inlineStr">
        <is>
          <t>90</t>
        </is>
      </c>
      <c r="AP14" s="2" t="inlineStr">
        <is>
          <t>75</t>
        </is>
      </c>
      <c r="AQ14" s="2" t="inlineStr">
        <is>
          <t>Home Run</t>
        </is>
      </c>
      <c r="AR14" s="2" t="inlineStr">
        <is>
          <t>Passes Gates 1-6 preliminarily; Gate 7 archive review pending</t>
        </is>
      </c>
      <c r="AS14" s="2" t="inlineStr">
        <is>
          <t>REVIEW — archive reconstruction</t>
        </is>
      </c>
      <c r="AT14" s="2" t="inlineStr">
        <is>
          <t>Moderate — official extract metadata; direct archive review pending</t>
        </is>
      </c>
      <c r="AU14" s="2" t="inlineStr">
        <is>
          <t>Selection role: Target-lane candidate. Solicitation family contains 1 notice version(s): dcb589a38f294a948ce8355b6ac8980f. Representative notice chosen by detail score, not outcome. Historical award mapping did not control selection.</t>
        </is>
      </c>
      <c r="AV14" s="2" t="inlineStr">
        <is>
          <t>67095</t>
        </is>
      </c>
    </row>
    <row r="15">
      <c r="A15" s="2" t="inlineStr">
        <is>
          <t>HOS01-014</t>
        </is>
      </c>
      <c r="B15" s="2" t="inlineStr">
        <is>
          <t>b8c107084a384e4487f789a1c4e19ae3</t>
        </is>
      </c>
      <c r="C15" s="2" t="inlineStr">
        <is>
          <t>1204H124Q7001</t>
        </is>
      </c>
      <c r="D15" s="2" t="inlineStr">
        <is>
          <t>https://sam.gov/workspace/contract/opp/b8c107084a384e4487f789a1c4e19ae3/view</t>
        </is>
      </c>
      <c r="E15" s="2" t="inlineStr">
        <is>
          <t>Solicitation</t>
        </is>
      </c>
      <c r="F15" s="2" t="inlineStr">
        <is>
          <t>2024-02-16</t>
        </is>
      </c>
      <c r="G15" s="2" t="inlineStr">
        <is>
          <t>2024-03-18</t>
        </is>
      </c>
      <c r="H15" s="2" t="inlineStr">
        <is>
          <t>AGRICULTURE, DEPARTMENT OF</t>
        </is>
      </c>
      <c r="I15" s="2" t="inlineStr">
        <is>
          <t>FOREST SERVICE</t>
        </is>
      </c>
      <c r="J15" s="2" t="inlineStr">
        <is>
          <t>PACIFIC NORTHWEST REGIONAL OFFICE</t>
        </is>
      </c>
      <c r="K15" s="2" t="inlineStr">
        <is>
          <t>VIPR I-BPA for Miscellaneous Heavy Equipment for Region 6 - Pacific Northwest ONLY</t>
        </is>
      </c>
      <c r="L15" s="2" t="inlineStr">
        <is>
          <t>The Department of Agriculture (USDA), US Forest Service (USFS) West Zone Region 6 Pacific Northwest ONLY anticipate soliciting quotes (RFQ) for Miscellaneous Heavy Equipment ]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t>
        </is>
      </c>
      <c r="M15" s="2" t="inlineStr">
        <is>
          <t>115310</t>
        </is>
      </c>
      <c r="N15" s="2" t="inlineStr">
        <is>
          <t>F003</t>
        </is>
      </c>
      <c r="O15" s="2" t="inlineStr">
        <is>
          <t>Total Small Business Set-Aside (FAR 19.5)</t>
        </is>
      </c>
      <c r="P15" s="2" t="inlineStr">
        <is>
          <t>Unknown pre-award; historical award retained only as answer key when mapped</t>
        </is>
      </c>
      <c r="Q15" s="2" t="inlineStr">
        <is>
          <t>Product / commercial supply candidate</t>
        </is>
      </c>
      <c r="R15" s="2" t="inlineStr">
        <is>
          <t>Office and facility consumables</t>
        </is>
      </c>
      <c r="S15" s="2" t="inlineStr"/>
      <c r="T15" s="2" t="inlineStr">
        <is>
          <t>Archive review required</t>
        </is>
      </c>
      <c r="U15" s="2" t="inlineStr">
        <is>
          <t>Direct notice/resource lookup required</t>
        </is>
      </c>
      <c r="V15" s="2" t="inlineStr">
        <is>
          <t>No separate version identified in extract</t>
        </is>
      </c>
      <c r="W15" s="2" t="inlineStr">
        <is>
          <t>Unknown — archive retrieval required</t>
        </is>
      </c>
      <c r="X15" s="2" t="inlineStr">
        <is>
          <t>Not yet recovered</t>
        </is>
      </c>
      <c r="Y15" s="2" t="inlineStr"/>
      <c r="Z15" s="2" t="inlineStr"/>
      <c r="AA15" s="2" t="inlineStr"/>
      <c r="AB15" s="2" t="inlineStr"/>
      <c r="AC15" s="2" t="inlineStr">
        <is>
          <t>No parent vehicle indicated at solicitation intake; verify clauses</t>
        </is>
      </c>
      <c r="AD15" s="2" t="inlineStr">
        <is>
          <t>Potentially yes — direct solicitation or combined notice</t>
        </is>
      </c>
      <c r="AE15" s="2" t="inlineStr">
        <is>
          <t>No evidence in metadata; verify solicitation</t>
        </is>
      </c>
      <c r="AF15" s="2" t="inlineStr">
        <is>
          <t>Potentially yes — subject to historical SAM registration and representations</t>
        </is>
      </c>
      <c r="AG15" s="2" t="inlineStr">
        <is>
          <t>No conflict detected in metadata; exact product review required</t>
        </is>
      </c>
      <c r="AH15" s="2" t="inlineStr">
        <is>
          <t>Exact product/NSN review required</t>
        </is>
      </c>
      <c r="AI15" s="2" t="inlineStr">
        <is>
          <t>Pass / no automatic exclusion detected</t>
        </is>
      </c>
      <c r="AJ15" s="2" t="inlineStr">
        <is>
          <t>Promising metadata; archive requirements review required</t>
        </is>
      </c>
      <c r="AK15" s="2" t="inlineStr">
        <is>
          <t>Unknown — never infer from award amount</t>
        </is>
      </c>
      <c r="AL15" s="2" t="inlineStr">
        <is>
          <t>Not modeled before archive and supplier-pricing gates</t>
        </is>
      </c>
      <c r="AM15" s="2" t="inlineStr">
        <is>
          <t>Unclassified pending requirements and sourcing</t>
        </is>
      </c>
      <c r="AN15" s="2" t="inlineStr">
        <is>
          <t>Not modeled before supplier pricing</t>
        </is>
      </c>
      <c r="AO15" s="2" t="inlineStr">
        <is>
          <t>90</t>
        </is>
      </c>
      <c r="AP15" s="2" t="inlineStr">
        <is>
          <t>75</t>
        </is>
      </c>
      <c r="AQ15" s="2" t="inlineStr">
        <is>
          <t>Home Run</t>
        </is>
      </c>
      <c r="AR15" s="2" t="inlineStr">
        <is>
          <t>Passes Gates 1-6 preliminarily; Gate 7 archive review pending</t>
        </is>
      </c>
      <c r="AS15" s="2" t="inlineStr">
        <is>
          <t>REVIEW — archive reconstruction</t>
        </is>
      </c>
      <c r="AT15" s="2" t="inlineStr">
        <is>
          <t>Moderate — official extract metadata; direct archive review pending</t>
        </is>
      </c>
      <c r="AU15" s="2" t="inlineStr">
        <is>
          <t>Selection role: Target-lane candidate. Solicitation family contains 1 notice version(s): b8c107084a384e4487f789a1c4e19ae3. Representative notice chosen by detail score, not outcome. Historical award mapping did not control selection.</t>
        </is>
      </c>
      <c r="AV15" s="2" t="inlineStr">
        <is>
          <t>67224</t>
        </is>
      </c>
    </row>
    <row r="16">
      <c r="A16" s="2" t="inlineStr">
        <is>
          <t>HOS01-015</t>
        </is>
      </c>
      <c r="B16" s="2" t="inlineStr">
        <is>
          <t>1ddb14a6a92a407fa11704757123eed2</t>
        </is>
      </c>
      <c r="C16" s="2" t="inlineStr">
        <is>
          <t>1202SB24Q7008</t>
        </is>
      </c>
      <c r="D16" s="2" t="inlineStr">
        <is>
          <t>https://sam.gov/workspace/contract/opp/1ddb14a6a92a407fa11704757123eed2/view</t>
        </is>
      </c>
      <c r="E16" s="2" t="inlineStr">
        <is>
          <t>Solicitation</t>
        </is>
      </c>
      <c r="F16" s="2" t="inlineStr">
        <is>
          <t>2024-01-30</t>
        </is>
      </c>
      <c r="G16" s="2" t="inlineStr">
        <is>
          <t>2024-03-04</t>
        </is>
      </c>
      <c r="H16" s="2" t="inlineStr">
        <is>
          <t>AGRICULTURE, DEPARTMENT OF</t>
        </is>
      </c>
      <c r="I16" s="2" t="inlineStr">
        <is>
          <t>FOREST SERVICE</t>
        </is>
      </c>
      <c r="J16" s="2" t="inlineStr">
        <is>
          <t>USDA-FS PPS INCIDENT PROCUREMENT</t>
        </is>
      </c>
      <c r="K16" s="2" t="inlineStr">
        <is>
          <t>VIPR I-BPA for Miscellaneous Heavy Equipment for Region 3 and 8 East Zone</t>
        </is>
      </c>
      <c r="L16" s="2" t="inlineStr">
        <is>
          <t>The Department of Agriculture (USDA), US Forest Service (USFS) Regions 3 and 8 anticipate soliciting quotes (RFQ) for Miscellaneous Heavy Equipment (Feller Buncher, Mulcher/Masticator, Road Grader, and Skidder)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t>
        </is>
      </c>
      <c r="M16" s="2" t="inlineStr">
        <is>
          <t>115310</t>
        </is>
      </c>
      <c r="N16" s="2" t="inlineStr">
        <is>
          <t>F003</t>
        </is>
      </c>
      <c r="O16" s="2" t="inlineStr">
        <is>
          <t>Total Small Business Set-Aside (FAR 19.5)</t>
        </is>
      </c>
      <c r="P16" s="2" t="inlineStr">
        <is>
          <t>Unknown pre-award; historical award retained only as answer key when mapped</t>
        </is>
      </c>
      <c r="Q16" s="2" t="inlineStr">
        <is>
          <t>Product / commercial supply candidate</t>
        </is>
      </c>
      <c r="R16" s="2" t="inlineStr">
        <is>
          <t>Office and facility consumables</t>
        </is>
      </c>
      <c r="S16" s="2" t="inlineStr"/>
      <c r="T16" s="2" t="inlineStr">
        <is>
          <t>Archive review required</t>
        </is>
      </c>
      <c r="U16" s="2" t="inlineStr">
        <is>
          <t>Direct notice/resource lookup required</t>
        </is>
      </c>
      <c r="V16" s="2" t="inlineStr">
        <is>
          <t>No separate version identified in extract</t>
        </is>
      </c>
      <c r="W16" s="2" t="inlineStr">
        <is>
          <t>Unknown — archive retrieval required</t>
        </is>
      </c>
      <c r="X16" s="2" t="inlineStr">
        <is>
          <t>Not yet recovered</t>
        </is>
      </c>
      <c r="Y16" s="2" t="inlineStr"/>
      <c r="Z16" s="2" t="inlineStr"/>
      <c r="AA16" s="2" t="inlineStr"/>
      <c r="AB16" s="2" t="inlineStr"/>
      <c r="AC16" s="2" t="inlineStr">
        <is>
          <t>No parent vehicle indicated at solicitation intake; verify clauses</t>
        </is>
      </c>
      <c r="AD16" s="2" t="inlineStr">
        <is>
          <t>Potentially yes — direct solicitation or combined notice</t>
        </is>
      </c>
      <c r="AE16" s="2" t="inlineStr">
        <is>
          <t>No evidence in metadata; verify solicitation</t>
        </is>
      </c>
      <c r="AF16" s="2" t="inlineStr">
        <is>
          <t>Potentially yes — subject to historical SAM registration and representations</t>
        </is>
      </c>
      <c r="AG16" s="2" t="inlineStr">
        <is>
          <t>No conflict detected in metadata; exact product review required</t>
        </is>
      </c>
      <c r="AH16" s="2" t="inlineStr">
        <is>
          <t>Exact product/NSN review required</t>
        </is>
      </c>
      <c r="AI16" s="2" t="inlineStr">
        <is>
          <t>Pass / no automatic exclusion detected</t>
        </is>
      </c>
      <c r="AJ16" s="2" t="inlineStr">
        <is>
          <t>Promising metadata; archive requirements review required</t>
        </is>
      </c>
      <c r="AK16" s="2" t="inlineStr">
        <is>
          <t>Unknown — never infer from award amount</t>
        </is>
      </c>
      <c r="AL16" s="2" t="inlineStr">
        <is>
          <t>Not modeled before archive and supplier-pricing gates</t>
        </is>
      </c>
      <c r="AM16" s="2" t="inlineStr">
        <is>
          <t>Unclassified pending requirements and sourcing</t>
        </is>
      </c>
      <c r="AN16" s="2" t="inlineStr">
        <is>
          <t>Not modeled before supplier pricing</t>
        </is>
      </c>
      <c r="AO16" s="2" t="inlineStr">
        <is>
          <t>90</t>
        </is>
      </c>
      <c r="AP16" s="2" t="inlineStr">
        <is>
          <t>75</t>
        </is>
      </c>
      <c r="AQ16" s="2" t="inlineStr">
        <is>
          <t>Home Run</t>
        </is>
      </c>
      <c r="AR16" s="2" t="inlineStr">
        <is>
          <t>Passes Gates 1-6 preliminarily; Gate 7 archive review pending</t>
        </is>
      </c>
      <c r="AS16" s="2" t="inlineStr">
        <is>
          <t>REVIEW — archive reconstruction</t>
        </is>
      </c>
      <c r="AT16" s="2" t="inlineStr">
        <is>
          <t>Moderate — official extract metadata; direct archive review pending</t>
        </is>
      </c>
      <c r="AU16" s="2" t="inlineStr">
        <is>
          <t>Selection role: Target-lane candidate. Solicitation family contains 1 notice version(s): 1ddb14a6a92a407fa11704757123eed2. Representative notice chosen by detail score, not outcome. Historical award mapping did not control selection.</t>
        </is>
      </c>
      <c r="AV16" s="2" t="inlineStr">
        <is>
          <t>67389</t>
        </is>
      </c>
    </row>
    <row r="17">
      <c r="A17" s="2" t="inlineStr">
        <is>
          <t>HOS01-016</t>
        </is>
      </c>
      <c r="B17" s="2" t="inlineStr">
        <is>
          <t>c3c3100f6c6d4d8895950450dec02667</t>
        </is>
      </c>
      <c r="C17" s="2" t="inlineStr">
        <is>
          <t>1202SB24Q7010</t>
        </is>
      </c>
      <c r="D17" s="2" t="inlineStr">
        <is>
          <t>https://sam.gov/workspace/contract/opp/c3c3100f6c6d4d8895950450dec02667/view</t>
        </is>
      </c>
      <c r="E17" s="2" t="inlineStr">
        <is>
          <t>Solicitation</t>
        </is>
      </c>
      <c r="F17" s="2" t="inlineStr">
        <is>
          <t>2024-01-30</t>
        </is>
      </c>
      <c r="G17" s="2" t="inlineStr">
        <is>
          <t>2024-03-04</t>
        </is>
      </c>
      <c r="H17" s="2" t="inlineStr">
        <is>
          <t>AGRICULTURE, DEPARTMENT OF</t>
        </is>
      </c>
      <c r="I17" s="2" t="inlineStr">
        <is>
          <t>FOREST SERVICE</t>
        </is>
      </c>
      <c r="J17" s="2" t="inlineStr">
        <is>
          <t>USDA-FS PPS INCIDENT PROCUREMENT</t>
        </is>
      </c>
      <c r="K17" s="2" t="inlineStr">
        <is>
          <t>VIPR I-BPA for Potable &amp; Gray Water Truck/Handwashing Station (Trailer Mounted) for Region 3 - East Zone</t>
        </is>
      </c>
      <c r="L17" s="2" t="inlineStr">
        <is>
          <t>The Department of Agriculture (USDA), US Forest Service (USFS) Region 3 anticipate soliciting quotes (RFQ) for Potable, Gray Water, and Trailer Mounted Hand Wash Stations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to reasonably meet the Government</t>
        </is>
      </c>
      <c r="M17" s="2" t="inlineStr">
        <is>
          <t>115310</t>
        </is>
      </c>
      <c r="N17" s="2" t="inlineStr">
        <is>
          <t>F003</t>
        </is>
      </c>
      <c r="O17" s="2" t="inlineStr">
        <is>
          <t>Total Small Business Set-Aside (FAR 19.5)</t>
        </is>
      </c>
      <c r="P17" s="2" t="inlineStr">
        <is>
          <t>Unknown pre-award; historical award retained only as answer key when mapped</t>
        </is>
      </c>
      <c r="Q17" s="2" t="inlineStr">
        <is>
          <t>Product / commercial supply candidate</t>
        </is>
      </c>
      <c r="R17" s="2" t="inlineStr">
        <is>
          <t>Office and facility consumables</t>
        </is>
      </c>
      <c r="S17" s="2" t="inlineStr"/>
      <c r="T17" s="2" t="inlineStr">
        <is>
          <t>Archive review required</t>
        </is>
      </c>
      <c r="U17" s="2" t="inlineStr">
        <is>
          <t>Direct notice/resource lookup required</t>
        </is>
      </c>
      <c r="V17" s="2" t="inlineStr">
        <is>
          <t>No separate version identified in extract</t>
        </is>
      </c>
      <c r="W17" s="2" t="inlineStr">
        <is>
          <t>Unknown — archive retrieval required</t>
        </is>
      </c>
      <c r="X17" s="2" t="inlineStr">
        <is>
          <t>Not yet recovered</t>
        </is>
      </c>
      <c r="Y17" s="2" t="inlineStr"/>
      <c r="Z17" s="2" t="inlineStr"/>
      <c r="AA17" s="2" t="inlineStr"/>
      <c r="AB17" s="2" t="inlineStr"/>
      <c r="AC17" s="2" t="inlineStr">
        <is>
          <t>No parent vehicle indicated at solicitation intake; verify clauses</t>
        </is>
      </c>
      <c r="AD17" s="2" t="inlineStr">
        <is>
          <t>Potentially yes — direct solicitation or combined notice</t>
        </is>
      </c>
      <c r="AE17" s="2" t="inlineStr">
        <is>
          <t>No evidence in metadata; verify solicitation</t>
        </is>
      </c>
      <c r="AF17" s="2" t="inlineStr">
        <is>
          <t>Potentially yes — subject to historical SAM registration and representations</t>
        </is>
      </c>
      <c r="AG17" s="2" t="inlineStr">
        <is>
          <t>No conflict detected in metadata; exact product review required</t>
        </is>
      </c>
      <c r="AH17" s="2" t="inlineStr">
        <is>
          <t>Exact product/NSN review required</t>
        </is>
      </c>
      <c r="AI17" s="2" t="inlineStr">
        <is>
          <t>Pass / no automatic exclusion detected</t>
        </is>
      </c>
      <c r="AJ17" s="2" t="inlineStr">
        <is>
          <t>Promising metadata; archive requirements review required</t>
        </is>
      </c>
      <c r="AK17" s="2" t="inlineStr">
        <is>
          <t>Unknown — never infer from award amount</t>
        </is>
      </c>
      <c r="AL17" s="2" t="inlineStr">
        <is>
          <t>Not modeled before archive and supplier-pricing gates</t>
        </is>
      </c>
      <c r="AM17" s="2" t="inlineStr">
        <is>
          <t>Unclassified pending requirements and sourcing</t>
        </is>
      </c>
      <c r="AN17" s="2" t="inlineStr">
        <is>
          <t>Not modeled before supplier pricing</t>
        </is>
      </c>
      <c r="AO17" s="2" t="inlineStr">
        <is>
          <t>90</t>
        </is>
      </c>
      <c r="AP17" s="2" t="inlineStr">
        <is>
          <t>75</t>
        </is>
      </c>
      <c r="AQ17" s="2" t="inlineStr">
        <is>
          <t>Home Run</t>
        </is>
      </c>
      <c r="AR17" s="2" t="inlineStr">
        <is>
          <t>Passes Gates 1-6 preliminarily; Gate 7 archive review pending</t>
        </is>
      </c>
      <c r="AS17" s="2" t="inlineStr">
        <is>
          <t>REVIEW — archive reconstruction</t>
        </is>
      </c>
      <c r="AT17" s="2" t="inlineStr">
        <is>
          <t>Moderate — official extract metadata; direct archive review pending</t>
        </is>
      </c>
      <c r="AU17" s="2" t="inlineStr">
        <is>
          <t>Selection role: Target-lane candidate. Solicitation family contains 1 notice version(s): c3c3100f6c6d4d8895950450dec02667. Representative notice chosen by detail score, not outcome. Historical award mapping did not control selection.</t>
        </is>
      </c>
      <c r="AV17" s="2" t="inlineStr">
        <is>
          <t>67385</t>
        </is>
      </c>
    </row>
    <row r="18">
      <c r="A18" s="2" t="inlineStr">
        <is>
          <t>HOS01-017</t>
        </is>
      </c>
      <c r="B18" s="2" t="inlineStr">
        <is>
          <t>663b503fa47049f7ac3457b9fdd510db</t>
        </is>
      </c>
      <c r="C18" s="2" t="inlineStr">
        <is>
          <t>129J6124Q7001</t>
        </is>
      </c>
      <c r="D18" s="2" t="inlineStr">
        <is>
          <t>https://sam.gov/workspace/contract/opp/663b503fa47049f7ac3457b9fdd510db/view</t>
        </is>
      </c>
      <c r="E18" s="2" t="inlineStr">
        <is>
          <t>Solicitation</t>
        </is>
      </c>
      <c r="F18" s="2" t="inlineStr">
        <is>
          <t>2024-02-20</t>
        </is>
      </c>
      <c r="G18" s="2" t="inlineStr">
        <is>
          <t>2024-03-24</t>
        </is>
      </c>
      <c r="H18" s="2" t="inlineStr">
        <is>
          <t>AGRICULTURE, DEPARTMENT OF</t>
        </is>
      </c>
      <c r="I18" s="2" t="inlineStr">
        <is>
          <t>FOREST SERVICE</t>
        </is>
      </c>
      <c r="J18" s="2" t="inlineStr">
        <is>
          <t>USDA FS</t>
        </is>
      </c>
      <c r="K18" s="2" t="inlineStr">
        <is>
          <t>VIPR I-BPA for Miscellaneous Heavy Equipment for Region 5 - Pacific Southwest Region</t>
        </is>
      </c>
      <c r="L18" s="2" t="inlineStr">
        <is>
          <t>The Department of Agriculture (USDA), US Forest Service (USFS) Region 5 anticipate soliciting quotes (RFQ) for Miscellaneous Heavy Equipment(Feller Buncher, Mulcher/Masticator ? Boom Mounted, Strip Mulcher/Masticator, Road Graders, Skidders) for use during local, regional, nationwide fire suppression, all-hazard incidents, and RX Prescribed Project Work. Section D.2 within the solicitation will contain equipment &amp; personnel requirement details. The Contractor is responsible for all equipment, materials, supplies, transportation, lodging, managed/supervised/trained/certified personnel necessary to meet or exceed the Agreement specifications. The resources may be used in the protection of lands, to include but not be limited to, severity, fire suppression, all-hazard incidents, and RX Prescribed Project Work. Optional awarded Agreement use by Interagency Cooperators (DOI, NPS, BIA, 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Payments.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t>
        </is>
      </c>
      <c r="M18" s="2" t="inlineStr">
        <is>
          <t>115310</t>
        </is>
      </c>
      <c r="N18" s="2" t="inlineStr">
        <is>
          <t>F003</t>
        </is>
      </c>
      <c r="O18" s="2" t="inlineStr">
        <is>
          <t>Total Small Business Set-Aside (FAR 19.5)</t>
        </is>
      </c>
      <c r="P18" s="2" t="inlineStr">
        <is>
          <t>Unknown pre-award; historical award retained only as answer key when mapped</t>
        </is>
      </c>
      <c r="Q18" s="2" t="inlineStr">
        <is>
          <t>Product / commercial supply candidate</t>
        </is>
      </c>
      <c r="R18" s="2" t="inlineStr">
        <is>
          <t>Office and facility consumables</t>
        </is>
      </c>
      <c r="S18" s="2" t="inlineStr"/>
      <c r="T18" s="2" t="inlineStr">
        <is>
          <t>Archive review required</t>
        </is>
      </c>
      <c r="U18" s="2" t="inlineStr">
        <is>
          <t>Direct notice/resource lookup required</t>
        </is>
      </c>
      <c r="V18" s="2" t="inlineStr">
        <is>
          <t>No separate version identified in extract</t>
        </is>
      </c>
      <c r="W18" s="2" t="inlineStr">
        <is>
          <t>Unknown — archive retrieval required</t>
        </is>
      </c>
      <c r="X18" s="2" t="inlineStr">
        <is>
          <t>Not yet recovered</t>
        </is>
      </c>
      <c r="Y18" s="2" t="inlineStr"/>
      <c r="Z18" s="2" t="inlineStr"/>
      <c r="AA18" s="2" t="inlineStr"/>
      <c r="AB18" s="2" t="inlineStr"/>
      <c r="AC18" s="2" t="inlineStr">
        <is>
          <t>No parent vehicle indicated at solicitation intake; verify clauses</t>
        </is>
      </c>
      <c r="AD18" s="2" t="inlineStr">
        <is>
          <t>Potentially yes — direct solicitation or combined notice</t>
        </is>
      </c>
      <c r="AE18" s="2" t="inlineStr">
        <is>
          <t>No evidence in metadata; verify solicitation</t>
        </is>
      </c>
      <c r="AF18" s="2" t="inlineStr">
        <is>
          <t>Potentially yes — subject to historical SAM registration and representations</t>
        </is>
      </c>
      <c r="AG18" s="2" t="inlineStr">
        <is>
          <t>No conflict detected in metadata; exact product review required</t>
        </is>
      </c>
      <c r="AH18" s="2" t="inlineStr">
        <is>
          <t>Exact product/NSN review required</t>
        </is>
      </c>
      <c r="AI18" s="2" t="inlineStr">
        <is>
          <t>Pass / no automatic exclusion detected</t>
        </is>
      </c>
      <c r="AJ18" s="2" t="inlineStr">
        <is>
          <t>Promising metadata; archive requirements review required</t>
        </is>
      </c>
      <c r="AK18" s="2" t="inlineStr">
        <is>
          <t>Unknown — never infer from award amount</t>
        </is>
      </c>
      <c r="AL18" s="2" t="inlineStr">
        <is>
          <t>Not modeled before archive and supplier-pricing gates</t>
        </is>
      </c>
      <c r="AM18" s="2" t="inlineStr">
        <is>
          <t>Unclassified pending requirements and sourcing</t>
        </is>
      </c>
      <c r="AN18" s="2" t="inlineStr">
        <is>
          <t>Not modeled before supplier pricing</t>
        </is>
      </c>
      <c r="AO18" s="2" t="inlineStr">
        <is>
          <t>90</t>
        </is>
      </c>
      <c r="AP18" s="2" t="inlineStr">
        <is>
          <t>75</t>
        </is>
      </c>
      <c r="AQ18" s="2" t="inlineStr">
        <is>
          <t>Home Run</t>
        </is>
      </c>
      <c r="AR18" s="2" t="inlineStr">
        <is>
          <t>Passes Gates 1-6 preliminarily; Gate 7 archive review pending</t>
        </is>
      </c>
      <c r="AS18" s="2" t="inlineStr">
        <is>
          <t>REVIEW — archive reconstruction</t>
        </is>
      </c>
      <c r="AT18" s="2" t="inlineStr">
        <is>
          <t>Moderate — official extract metadata; direct archive review pending</t>
        </is>
      </c>
      <c r="AU18" s="2" t="inlineStr">
        <is>
          <t>Selection role: Target-lane candidate. Solicitation family contains 1 notice version(s): 663b503fa47049f7ac3457b9fdd510db. Representative notice chosen by detail score, not outcome. Historical award mapping did not control selection.</t>
        </is>
      </c>
      <c r="AV18" s="2" t="inlineStr">
        <is>
          <t>67217</t>
        </is>
      </c>
    </row>
    <row r="19">
      <c r="A19" s="2" t="inlineStr">
        <is>
          <t>HOS01-018</t>
        </is>
      </c>
      <c r="B19" s="2" t="inlineStr">
        <is>
          <t>548ead07fd20425699b0cbbd9c006d30</t>
        </is>
      </c>
      <c r="C19" s="2" t="inlineStr">
        <is>
          <t>W900KK-24-R-0003</t>
        </is>
      </c>
      <c r="D19" s="2" t="inlineStr">
        <is>
          <t>https://sam.gov/workspace/contract/opp/548ead07fd20425699b0cbbd9c006d30/view</t>
        </is>
      </c>
      <c r="E19" s="2" t="inlineStr">
        <is>
          <t>Solicitation</t>
        </is>
      </c>
      <c r="F19" s="2" t="inlineStr">
        <is>
          <t>2024-04-11</t>
        </is>
      </c>
      <c r="G19" s="2" t="inlineStr">
        <is>
          <t>2024-05-13</t>
        </is>
      </c>
      <c r="H19" s="2" t="inlineStr">
        <is>
          <t>DEPT OF DEFENSE</t>
        </is>
      </c>
      <c r="I19" s="2" t="inlineStr">
        <is>
          <t>DEPT OF THE ARMY</t>
        </is>
      </c>
      <c r="J19" s="2" t="inlineStr">
        <is>
          <t>W6QK ACC-ORLANDO</t>
        </is>
      </c>
      <c r="K19" s="2" t="inlineStr">
        <is>
          <t>Live Training, Ranges, and Combat Training Centers (LTRaC) Multiple Award Contract (MAC) 3: Full and Open Competition for Complex Life Cycle Support Activities for Live Training Ranges</t>
        </is>
      </c>
      <c r="L19" s="2" t="inlineStr">
        <is>
          <t>07 May 2024 Amendment 0001 23 April 2024 LTRAC MAC 3 SOLICITATION NOTICE UPDATE: This update provides Government answers (File Name: RFP_SectionJ-Attach-5_RFP-Questions-Answers-MAC3 23APR24) to all the �LTRaC MAC 3 RFP� Questions/Comments received from Industry. ----------------------------------------------------------------------------------------------------------------------------------------- Request for Proposal to establish the Live Training Ranges and Combat Training Centers Multiple Award Contract 3 (LTRaC MAC 3): Full and Open Competitive Contract for Complex Life Cycle Support Activities. Proposals are due NLT 10:00AM EST on Monday, 13 May 2024.</t>
        </is>
      </c>
      <c r="M19" s="2" t="inlineStr">
        <is>
          <t>333310</t>
        </is>
      </c>
      <c r="N19" s="2" t="inlineStr">
        <is>
          <t>6910</t>
        </is>
      </c>
      <c r="O19" s="2" t="inlineStr"/>
      <c r="P19" s="2" t="inlineStr">
        <is>
          <t>Unknown pre-award; historical award retained only as answer key when mapped</t>
        </is>
      </c>
      <c r="Q19" s="2" t="inlineStr">
        <is>
          <t>Product / commercial supply candidate</t>
        </is>
      </c>
      <c r="R19" s="2" t="inlineStr">
        <is>
          <t>Office and facility consumables</t>
        </is>
      </c>
      <c r="S19" s="2" t="inlineStr">
        <is>
          <t>USA</t>
        </is>
      </c>
      <c r="T19" s="2" t="inlineStr">
        <is>
          <t>USA</t>
        </is>
      </c>
      <c r="U19" s="2" t="inlineStr">
        <is>
          <t>Direct notice/resource lookup required</t>
        </is>
      </c>
      <c r="V19" s="2" t="inlineStr">
        <is>
          <t>Yes — 3 notice version(s)</t>
        </is>
      </c>
      <c r="W19" s="2" t="inlineStr">
        <is>
          <t>Unknown — archive retrieval required</t>
        </is>
      </c>
      <c r="X19" s="2" t="inlineStr">
        <is>
          <t>Not yet recovered</t>
        </is>
      </c>
      <c r="Y19" s="2" t="inlineStr"/>
      <c r="Z19" s="2" t="inlineStr"/>
      <c r="AA19" s="2" t="inlineStr"/>
      <c r="AB19" s="2" t="inlineStr"/>
      <c r="AC19" s="2" t="inlineStr">
        <is>
          <t>No parent vehicle indicated at solicitation intake; verify clauses</t>
        </is>
      </c>
      <c r="AD19" s="2" t="inlineStr">
        <is>
          <t>Potentially yes — direct solicitation or combined notice</t>
        </is>
      </c>
      <c r="AE19" s="2" t="inlineStr">
        <is>
          <t>No evidence in metadata; verify solicitation</t>
        </is>
      </c>
      <c r="AF19" s="2" t="inlineStr">
        <is>
          <t>Potentially yes — subject to historical SAM registration and representations</t>
        </is>
      </c>
      <c r="AG19" s="2" t="inlineStr">
        <is>
          <t>No conflict detected in metadata; exact product review required</t>
        </is>
      </c>
      <c r="AH19" s="2" t="inlineStr">
        <is>
          <t>Exact product/NSN review required</t>
        </is>
      </c>
      <c r="AI19" s="2" t="inlineStr">
        <is>
          <t>Pass / no automatic exclusion detected</t>
        </is>
      </c>
      <c r="AJ19" s="2" t="inlineStr">
        <is>
          <t>Partial metadata; archive retrieval required</t>
        </is>
      </c>
      <c r="AK19" s="2" t="inlineStr">
        <is>
          <t>Unknown — never infer from award amount</t>
        </is>
      </c>
      <c r="AL19" s="2" t="inlineStr">
        <is>
          <t>Not modeled before archive and supplier-pricing gates</t>
        </is>
      </c>
      <c r="AM19" s="2" t="inlineStr">
        <is>
          <t>Unclassified pending requirements and sourcing</t>
        </is>
      </c>
      <c r="AN19" s="2" t="inlineStr">
        <is>
          <t>Not modeled before supplier pricing</t>
        </is>
      </c>
      <c r="AO19" s="2" t="inlineStr">
        <is>
          <t>90</t>
        </is>
      </c>
      <c r="AP19" s="2" t="inlineStr">
        <is>
          <t>67</t>
        </is>
      </c>
      <c r="AQ19" s="2" t="inlineStr">
        <is>
          <t>Triple</t>
        </is>
      </c>
      <c r="AR19" s="2" t="inlineStr">
        <is>
          <t>Passes Gates 1-6 preliminarily; Gate 7 archive review pending</t>
        </is>
      </c>
      <c r="AS19" s="2" t="inlineStr">
        <is>
          <t>REVIEW — archive reconstruction</t>
        </is>
      </c>
      <c r="AT19" s="2" t="inlineStr">
        <is>
          <t>Moderate — official extract metadata; direct archive review pending</t>
        </is>
      </c>
      <c r="AU19" s="2" t="inlineStr">
        <is>
          <t>Selection role: Target-lane candidate. Solicitation family contains 3 notice version(s): d8d5c7ab95bb4d4192bcb3daa34e1b78; 7c0edbbe32ee44df8e02056f2a59314b; 548ead07fd20425699b0cbbd9c006d30. Representative notice chosen by detail score, not outcome. Historical award mapping did not control selection.</t>
        </is>
      </c>
      <c r="AV19" s="2" t="inlineStr">
        <is>
          <t>66576</t>
        </is>
      </c>
    </row>
    <row r="20">
      <c r="A20" s="2" t="inlineStr">
        <is>
          <t>HOS01-019</t>
        </is>
      </c>
      <c r="B20" s="2" t="inlineStr">
        <is>
          <t>1328daaf81a347b688ab419642bc2a32</t>
        </is>
      </c>
      <c r="C20" s="2" t="inlineStr">
        <is>
          <t>HDTRA124S0001</t>
        </is>
      </c>
      <c r="D20" s="2" t="inlineStr">
        <is>
          <t>https://sam.gov/workspace/contract/opp/1328daaf81a347b688ab419642bc2a32/view</t>
        </is>
      </c>
      <c r="E20" s="2" t="inlineStr">
        <is>
          <t>Solicitation</t>
        </is>
      </c>
      <c r="F20" s="2" t="inlineStr">
        <is>
          <t>2024-04-18</t>
        </is>
      </c>
      <c r="G20" s="2" t="inlineStr">
        <is>
          <t>2024-12-31</t>
        </is>
      </c>
      <c r="H20" s="2" t="inlineStr">
        <is>
          <t>DEPT OF DEFENSE</t>
        </is>
      </c>
      <c r="I20" s="2" t="inlineStr">
        <is>
          <t>DEFENSE THREAT REDUCTION AGENCY (DTRA)</t>
        </is>
      </c>
      <c r="J20" s="2" t="inlineStr">
        <is>
          <t>DEFENSE THREAT REDUCTION AGENCY</t>
        </is>
      </c>
      <c r="K20" s="2" t="inlineStr">
        <is>
          <t>Mentor Protege Program (MPP) Broad Agency Announcement (BAA)</t>
        </is>
      </c>
      <c r="L20" s="2" t="inlineStr">
        <is>
          <t>The Defense Threat Reduction Agency (DTRA) has a requirement for the Mentor Prot�g� Program (MPP) Broad Agency Announcement (BAA) to solicit eligible mentor and prot�g� firms for participation in the Department of Defense (DoD) MPP in accordance with Defense Federal Acquisition Regulation Supplement (DFARS) 219.71, (DFARS) 219.71 and DFARS Appendix I (as amended by 10 U.S.C. 4902 effective December 21, 2023) through this Broad Agency Announcement (BAA). This announcement will be posted for twelve months so white papers may be submitted at any time. This is a Two-Step Open BAA issued under the provisions of FAR 6.102(d)(2), which provides for the competitive selection of proposals. The following information is relative to Step-One, submission of white papers. DTRA will contact those offerors whose white papers are selected to proceed to Step-Two, submission of a formal proposal which is subject to availability of program funds. Formal proposals are not being accepted at this time. DO NOT submit a formal proposal until requested by DTRA�s Contracting Office. Evaluation of these white papers will occur throughout this time period. After evaluations, Mentor Firms whose, white papers are consistent with the intent of this BAA may be solicited to submit technical and cost proposals subject to availability of program funds. Formal Proposals are not being accepted at this time.</t>
        </is>
      </c>
      <c r="M20" s="2" t="inlineStr">
        <is>
          <t>541611</t>
        </is>
      </c>
      <c r="N20" s="2" t="inlineStr">
        <is>
          <t>R799</t>
        </is>
      </c>
      <c r="O20" s="2" t="inlineStr"/>
      <c r="P20" s="2" t="inlineStr">
        <is>
          <t>Unknown pre-award; historical award retained only as answer key when mapped</t>
        </is>
      </c>
      <c r="Q20" s="2" t="inlineStr">
        <is>
          <t>Product / commercial supply candidate</t>
        </is>
      </c>
      <c r="R20" s="2" t="inlineStr">
        <is>
          <t>Office and facility consumables</t>
        </is>
      </c>
      <c r="S20" s="2" t="inlineStr"/>
      <c r="T20" s="2" t="inlineStr">
        <is>
          <t>Archive review required</t>
        </is>
      </c>
      <c r="U20" s="2" t="inlineStr">
        <is>
          <t>Direct notice/resource lookup required</t>
        </is>
      </c>
      <c r="V20" s="2" t="inlineStr">
        <is>
          <t>No separate version identified in extract</t>
        </is>
      </c>
      <c r="W20" s="2" t="inlineStr">
        <is>
          <t>Unknown — archive retrieval required</t>
        </is>
      </c>
      <c r="X20" s="2" t="inlineStr">
        <is>
          <t>Mapped from 2023-2025 award index</t>
        </is>
      </c>
      <c r="Y20" s="2" t="inlineStr">
        <is>
          <t>https://sam.gov/workspace/contract/opp/942d5e7454104d5d896404e8797d0fd7/view</t>
        </is>
      </c>
      <c r="Z20" s="2" t="inlineStr"/>
      <c r="AA20" s="2" t="inlineStr"/>
      <c r="AB20" s="2" t="inlineStr">
        <is>
          <t>Solicitation</t>
        </is>
      </c>
      <c r="AC20" s="2" t="inlineStr">
        <is>
          <t>No parent vehicle indicated at solicitation intake; verify clauses</t>
        </is>
      </c>
      <c r="AD20" s="2" t="inlineStr">
        <is>
          <t>Potentially yes — direct solicitation or combined notice</t>
        </is>
      </c>
      <c r="AE20" s="2" t="inlineStr">
        <is>
          <t>No evidence in metadata; verify solicitation</t>
        </is>
      </c>
      <c r="AF20" s="2" t="inlineStr">
        <is>
          <t>Potentially yes — subject to historical SAM registration and representations</t>
        </is>
      </c>
      <c r="AG20" s="2" t="inlineStr">
        <is>
          <t>No conflict detected in metadata; exact product review required</t>
        </is>
      </c>
      <c r="AH20" s="2" t="inlineStr">
        <is>
          <t>Exact product/NSN review required</t>
        </is>
      </c>
      <c r="AI20" s="2" t="inlineStr">
        <is>
          <t>Pass / no automatic exclusion detected</t>
        </is>
      </c>
      <c r="AJ20" s="2" t="inlineStr">
        <is>
          <t>Partial metadata; archive retrieval required</t>
        </is>
      </c>
      <c r="AK20" s="2" t="inlineStr">
        <is>
          <t>Unknown — never infer from award amount</t>
        </is>
      </c>
      <c r="AL20" s="2" t="inlineStr">
        <is>
          <t>Not modeled before archive and supplier-pricing gates</t>
        </is>
      </c>
      <c r="AM20" s="2" t="inlineStr">
        <is>
          <t>Unclassified pending requirements and sourcing</t>
        </is>
      </c>
      <c r="AN20" s="2" t="inlineStr">
        <is>
          <t>Not modeled before supplier pricing</t>
        </is>
      </c>
      <c r="AO20" s="2" t="inlineStr">
        <is>
          <t>90</t>
        </is>
      </c>
      <c r="AP20" s="2" t="inlineStr">
        <is>
          <t>67</t>
        </is>
      </c>
      <c r="AQ20" s="2" t="inlineStr">
        <is>
          <t>Triple</t>
        </is>
      </c>
      <c r="AR20" s="2" t="inlineStr">
        <is>
          <t>Passes Gates 1-6 preliminarily; Gate 7 archive review pending</t>
        </is>
      </c>
      <c r="AS20" s="2" t="inlineStr">
        <is>
          <t>REVIEW — archive reconstruction</t>
        </is>
      </c>
      <c r="AT20" s="2" t="inlineStr">
        <is>
          <t>Moderate — official extract metadata; direct archive review pending</t>
        </is>
      </c>
      <c r="AU20" s="2" t="inlineStr">
        <is>
          <t>Selection role: Target-lane candidate. Solicitation family contains 1 notice version(s): 1328daaf81a347b688ab419642bc2a32. Representative notice chosen by detail score, not outcome. Historical award mapping did not control selection.</t>
        </is>
      </c>
      <c r="AV20" s="2" t="inlineStr">
        <is>
          <t>66735</t>
        </is>
      </c>
    </row>
    <row r="21">
      <c r="A21" s="2" t="inlineStr">
        <is>
          <t>HOS01-020</t>
        </is>
      </c>
      <c r="B21" s="2" t="inlineStr">
        <is>
          <t>80e62520f947492496dd3595e1e96a56</t>
        </is>
      </c>
      <c r="C21" s="2" t="inlineStr">
        <is>
          <t>12363N24Q4061</t>
        </is>
      </c>
      <c r="D21" s="2" t="inlineStr">
        <is>
          <t>https://sam.gov/workspace/contract/opp/80e62520f947492496dd3595e1e96a56/view</t>
        </is>
      </c>
      <c r="E21" s="2" t="inlineStr">
        <is>
          <t>Combined Synopsis/Solicitation</t>
        </is>
      </c>
      <c r="F21" s="2" t="inlineStr">
        <is>
          <t>2024-03-26</t>
        </is>
      </c>
      <c r="G21" s="2" t="inlineStr">
        <is>
          <t>2024-05-10</t>
        </is>
      </c>
      <c r="H21" s="2" t="inlineStr">
        <is>
          <t>AGRICULTURE, DEPARTMENT OF</t>
        </is>
      </c>
      <c r="I21" s="2" t="inlineStr">
        <is>
          <t>FOREST SERVICE</t>
        </is>
      </c>
      <c r="J21" s="2" t="inlineStr">
        <is>
          <t>USDA-FS, STEWARDSHIP CONTRACTING BRANCH</t>
        </is>
      </c>
      <c r="K21" s="2" t="inlineStr">
        <is>
          <t>Federal Timber Transit Basic Ordering Agreement (BOA)</t>
        </is>
      </c>
      <c r="L21" s="2" t="inlineStr">
        <is>
          <t>DESCRIPTION The USDA Forest Service requires services for the transportation of surplus Federal timber products by rail or truck. This Blanket Ordering Agreement (BOA) is part of a PILOT project that has been designed to incentivize the removal of deficit haul and/or surplus Federal timber products by providing alternative disposal outlets. This BOA will allow the issuance of future orders to be awarded as firm-fixed price contracts. The scope covers the transportation (and all associated transportation services) of all Federal timber products. The government intends to award multiple BOAs from this opportunity. This BOA opportunity will remain �Open and Continuous� for 4-years from date of any initial award made, not to exceed 12/31/2029. Initial proposals are requested for evaluation by 3:00 PM Pacific Time, May 10, 2024. Contractors may submit quotes and technical proposals at any time this BOA remains open. Future Orders for specific projects will be emailed to only the Contractors awarded under this BOA. As such, it is imperative that all interested individuals have an email account, and that all firms must be actively registered in the System for Award Management (SAM.gov) to be eligible for award under this solicitation. If not actively registered, the Forest Service will be unable to make a BOA award; thereby, effectively excluding an otherwise successful offeror from receiving a Call Order solicitation. Registration in SAM is a free service. Apex Accelerators offers resources that are available free of charge at https://www.apexaccelerators.us/#/ to assist with both SAM registration and in proposal submission. Points of contact for this solicitation are: Curtis Yocum, Acquisition Program Support Officer, National Stewardship Contracting Branch, curtis.yocum@usd</t>
        </is>
      </c>
      <c r="M21" s="2" t="inlineStr">
        <is>
          <t>488210</t>
        </is>
      </c>
      <c r="N21" s="2" t="inlineStr">
        <is>
          <t>V113</t>
        </is>
      </c>
      <c r="O21" s="2" t="inlineStr">
        <is>
          <t>Partial Small Business Set-Aside (FAR 19.5)</t>
        </is>
      </c>
      <c r="P21" s="2" t="inlineStr">
        <is>
          <t>Unknown pre-award; historical award retained only as answer key when mapped</t>
        </is>
      </c>
      <c r="Q21" s="2" t="inlineStr">
        <is>
          <t>Product / commercial supply candidate</t>
        </is>
      </c>
      <c r="R21" s="2" t="inlineStr">
        <is>
          <t>Office and facility consumables</t>
        </is>
      </c>
      <c r="S21" s="2" t="inlineStr">
        <is>
          <t>Washington, DC, 20250, USA</t>
        </is>
      </c>
      <c r="T21" s="2" t="inlineStr">
        <is>
          <t>Washington, DC, 20250, USA</t>
        </is>
      </c>
      <c r="U21" s="2" t="inlineStr">
        <is>
          <t>Direct notice/resource lookup required</t>
        </is>
      </c>
      <c r="V21" s="2" t="inlineStr">
        <is>
          <t>No separate version identified in extract</t>
        </is>
      </c>
      <c r="W21" s="2" t="inlineStr">
        <is>
          <t>Unknown — archive retrieval required</t>
        </is>
      </c>
      <c r="X21" s="2" t="inlineStr">
        <is>
          <t>Not yet recovered</t>
        </is>
      </c>
      <c r="Y21" s="2" t="inlineStr"/>
      <c r="Z21" s="2" t="inlineStr"/>
      <c r="AA21" s="2" t="inlineStr"/>
      <c r="AB21" s="2" t="inlineStr"/>
      <c r="AC21" s="2" t="inlineStr">
        <is>
          <t>No parent vehicle indicated at solicitation intake; verify clauses</t>
        </is>
      </c>
      <c r="AD21" s="2" t="inlineStr">
        <is>
          <t>Potentially yes — direct solicitation or combined notice</t>
        </is>
      </c>
      <c r="AE21" s="2" t="inlineStr">
        <is>
          <t>No evidence in metadata; verify solicitation</t>
        </is>
      </c>
      <c r="AF21" s="2" t="inlineStr">
        <is>
          <t>Potentially yes — subject to historical SAM registration and representations</t>
        </is>
      </c>
      <c r="AG21" s="2" t="inlineStr">
        <is>
          <t>No conflict detected in metadata; exact product review required</t>
        </is>
      </c>
      <c r="AH21" s="2" t="inlineStr">
        <is>
          <t>Exact product/NSN review required</t>
        </is>
      </c>
      <c r="AI21" s="2" t="inlineStr">
        <is>
          <t>Pass / no automatic exclusion detected</t>
        </is>
      </c>
      <c r="AJ21" s="2" t="inlineStr">
        <is>
          <t>Partial metadata; archive retrieval required</t>
        </is>
      </c>
      <c r="AK21" s="2" t="inlineStr">
        <is>
          <t>Unknown — never infer from award amount</t>
        </is>
      </c>
      <c r="AL21" s="2" t="inlineStr">
        <is>
          <t>Not modeled before archive and supplier-pricing gates</t>
        </is>
      </c>
      <c r="AM21" s="2" t="inlineStr">
        <is>
          <t>Unclassified pending requirements and sourcing</t>
        </is>
      </c>
      <c r="AN21" s="2" t="inlineStr">
        <is>
          <t>Not modeled before supplier pricing</t>
        </is>
      </c>
      <c r="AO21" s="2" t="inlineStr">
        <is>
          <t>90</t>
        </is>
      </c>
      <c r="AP21" s="2" t="inlineStr">
        <is>
          <t>67</t>
        </is>
      </c>
      <c r="AQ21" s="2" t="inlineStr">
        <is>
          <t>Triple</t>
        </is>
      </c>
      <c r="AR21" s="2" t="inlineStr">
        <is>
          <t>Passes Gates 1-6 preliminarily; Gate 7 archive review pending</t>
        </is>
      </c>
      <c r="AS21" s="2" t="inlineStr">
        <is>
          <t>REVIEW — archive reconstruction</t>
        </is>
      </c>
      <c r="AT21" s="2" t="inlineStr">
        <is>
          <t>Moderate — official extract metadata; direct archive review pending</t>
        </is>
      </c>
      <c r="AU21" s="2" t="inlineStr">
        <is>
          <t>Selection role: Target-lane candidate. Solicitation family contains 1 notice version(s): 80e62520f947492496dd3595e1e96a56. Representative notice chosen by detail score, not outcome. Historical award mapping did not control selection.</t>
        </is>
      </c>
      <c r="AV21" s="2" t="inlineStr">
        <is>
          <t>66906</t>
        </is>
      </c>
    </row>
    <row r="22">
      <c r="A22" s="2" t="inlineStr">
        <is>
          <t>HOS01-021</t>
        </is>
      </c>
      <c r="B22" s="2" t="inlineStr">
        <is>
          <t>7f7e91d84f5946dea06e9a7a9db8f650</t>
        </is>
      </c>
      <c r="C22" s="2" t="inlineStr">
        <is>
          <t>SP330023Q0085</t>
        </is>
      </c>
      <c r="D22" s="2" t="inlineStr">
        <is>
          <t>https://sam.gov/workspace/contract/opp/7f7e91d84f5946dea06e9a7a9db8f650/view</t>
        </is>
      </c>
      <c r="E22" s="2" t="inlineStr">
        <is>
          <t>Combined Synopsis/Solicitation</t>
        </is>
      </c>
      <c r="F22" s="2" t="inlineStr">
        <is>
          <t>2023-03-29</t>
        </is>
      </c>
      <c r="G22" s="2" t="inlineStr">
        <is>
          <t>2023-05-03</t>
        </is>
      </c>
      <c r="H22" s="2" t="inlineStr">
        <is>
          <t>DEPT OF DEFENSE</t>
        </is>
      </c>
      <c r="I22" s="2" t="inlineStr">
        <is>
          <t>DEFENSE LOGISTICS AGENCY</t>
        </is>
      </c>
      <c r="J22" s="2" t="inlineStr">
        <is>
          <t>DLA DISTRIBUTION</t>
        </is>
      </c>
      <c r="K22" s="2" t="inlineStr">
        <is>
          <t>Battery Chargers for DLA Distribution Norfolk, Virginia</t>
        </is>
      </c>
      <c r="L22" s="2" t="inlineStr">
        <is>
          <t>3/29 - original combined synopsis / soliciation posted 4/13 - amendment 0001 uploaded to update the volts from 24 - 96 to 24 - 48.</t>
        </is>
      </c>
      <c r="M22" s="2" t="inlineStr">
        <is>
          <t>33599</t>
        </is>
      </c>
      <c r="N22" s="2" t="inlineStr">
        <is>
          <t>6130</t>
        </is>
      </c>
      <c r="O22" s="2" t="inlineStr">
        <is>
          <t>Total Small Business Set-Aside (FAR 19.5)</t>
        </is>
      </c>
      <c r="P22" s="2" t="inlineStr">
        <is>
          <t>Unknown pre-award; historical award retained only as answer key when mapped</t>
        </is>
      </c>
      <c r="Q22" s="2" t="inlineStr">
        <is>
          <t>Product / commercial supply candidate</t>
        </is>
      </c>
      <c r="R22" s="2" t="inlineStr">
        <is>
          <t>Office and facility consumables</t>
        </is>
      </c>
      <c r="S22" s="2" t="inlineStr">
        <is>
          <t>VA, 23511, USA</t>
        </is>
      </c>
      <c r="T22" s="2" t="inlineStr">
        <is>
          <t>VA, 23511, USA</t>
        </is>
      </c>
      <c r="U22" s="2" t="inlineStr">
        <is>
          <t>Direct notice/resource lookup required</t>
        </is>
      </c>
      <c r="V22" s="2" t="inlineStr">
        <is>
          <t>Yes — 2 notice version(s)</t>
        </is>
      </c>
      <c r="W22" s="2" t="inlineStr">
        <is>
          <t>Unknown — archive retrieval required</t>
        </is>
      </c>
      <c r="X22" s="2" t="inlineStr">
        <is>
          <t>Not yet recovered</t>
        </is>
      </c>
      <c r="Y22" s="2" t="inlineStr"/>
      <c r="Z22" s="2" t="inlineStr"/>
      <c r="AA22" s="2" t="inlineStr"/>
      <c r="AB22" s="2" t="inlineStr"/>
      <c r="AC22" s="2" t="inlineStr">
        <is>
          <t>No parent vehicle indicated at solicitation intake; verify clauses</t>
        </is>
      </c>
      <c r="AD22" s="2" t="inlineStr">
        <is>
          <t>Potentially yes — direct solicitation or combined notice</t>
        </is>
      </c>
      <c r="AE22" s="2" t="inlineStr">
        <is>
          <t>No evidence in metadata; verify solicitation</t>
        </is>
      </c>
      <c r="AF22" s="2" t="inlineStr">
        <is>
          <t>Potentially yes — subject to historical SAM registration and representations</t>
        </is>
      </c>
      <c r="AG22" s="2" t="inlineStr">
        <is>
          <t>No conflict detected in metadata; exact product review required</t>
        </is>
      </c>
      <c r="AH22" s="2" t="inlineStr">
        <is>
          <t>Exact product/NSN review required</t>
        </is>
      </c>
      <c r="AI22" s="2" t="inlineStr">
        <is>
          <t>Pass / no automatic exclusion detected</t>
        </is>
      </c>
      <c r="AJ22" s="2" t="inlineStr">
        <is>
          <t>Sparse metadata; high Gate 7 risk</t>
        </is>
      </c>
      <c r="AK22" s="2" t="inlineStr">
        <is>
          <t>Unknown — never infer from award amount</t>
        </is>
      </c>
      <c r="AL22" s="2" t="inlineStr">
        <is>
          <t>Not modeled before archive and supplier-pricing gates</t>
        </is>
      </c>
      <c r="AM22" s="2" t="inlineStr">
        <is>
          <t>Unclassified pending requirements and sourcing</t>
        </is>
      </c>
      <c r="AN22" s="2" t="inlineStr">
        <is>
          <t>Not modeled before supplier pricing</t>
        </is>
      </c>
      <c r="AO22" s="2" t="inlineStr">
        <is>
          <t>90</t>
        </is>
      </c>
      <c r="AP22" s="2" t="inlineStr">
        <is>
          <t>60</t>
        </is>
      </c>
      <c r="AQ22" s="2" t="inlineStr">
        <is>
          <t>Double</t>
        </is>
      </c>
      <c r="AR22" s="2" t="inlineStr">
        <is>
          <t>Passes Gates 1-6 preliminarily; Gate 7 archive review pending</t>
        </is>
      </c>
      <c r="AS22" s="2" t="inlineStr">
        <is>
          <t>REVIEW — archive reconstruction</t>
        </is>
      </c>
      <c r="AT22" s="2" t="inlineStr">
        <is>
          <t>Moderate — official extract metadata; direct archive review pending</t>
        </is>
      </c>
      <c r="AU22" s="2" t="inlineStr">
        <is>
          <t>Selection role: Target-lane candidate. Solicitation family contains 2 notice version(s): 1d2936097f514e858addd8f370bc514a; 7f7e91d84f5946dea06e9a7a9db8f650. Representative notice chosen by detail score, not outcome. Historical award mapping did not control selection.</t>
        </is>
      </c>
      <c r="AV22" s="2" t="inlineStr">
        <is>
          <t>69338</t>
        </is>
      </c>
    </row>
    <row r="23">
      <c r="A23" s="2" t="inlineStr">
        <is>
          <t>HOS01-022</t>
        </is>
      </c>
      <c r="B23" s="2" t="inlineStr">
        <is>
          <t>76f0f0970f234df2bdae4e94429a7011</t>
        </is>
      </c>
      <c r="C23" s="2" t="inlineStr">
        <is>
          <t>N6134024R0013</t>
        </is>
      </c>
      <c r="D23" s="2" t="inlineStr">
        <is>
          <t>https://sam.gov/workspace/contract/opp/76f0f0970f234df2bdae4e94429a7011/view</t>
        </is>
      </c>
      <c r="E23" s="2" t="inlineStr">
        <is>
          <t>Solicitation</t>
        </is>
      </c>
      <c r="F23" s="2" t="inlineStr">
        <is>
          <t>2024-02-09</t>
        </is>
      </c>
      <c r="G23" s="2" t="inlineStr">
        <is>
          <t>2024-03-18</t>
        </is>
      </c>
      <c r="H23" s="2" t="inlineStr">
        <is>
          <t>DEPT OF DEFENSE</t>
        </is>
      </c>
      <c r="I23" s="2" t="inlineStr">
        <is>
          <t>DEPT OF THE NAVY</t>
        </is>
      </c>
      <c r="J23" s="2" t="inlineStr">
        <is>
          <t>NAWC TRAINING SYSTEMS DIV</t>
        </is>
      </c>
      <c r="K23" s="2" t="inlineStr">
        <is>
          <t>Recompete of UC-12 Platform Training Program</t>
        </is>
      </c>
      <c r="L23" s="2" t="inlineStr">
        <is>
          <t>Naval Air Warfare Center Training Systems Division (NAWCTSD) has a requirement to support the Navy?s Command Aircraft Crew Training (CACT) program for academic and simulator training on the Navy UC-12B/F/M nonProLine and UC-12F/M ProLine 21aircraft (a Navy configured Raytheon/Beechcraft King Air B200) and the UC-12W ProLine 21 and UC-12W ProLine Fusion aircraft (a Navy configured Raytheon/Beechcraft King Air B350). This acquisition is necessary to facilitate pilot training in the UC-12B/F/M/W Fleet. The services being acquired under this contract require use of a certified (or equivalent) Federal Aviation Administration (FAA), Level ?C? (or higher) UC12B/F/M (Beechcraft King Air B200 non-Proline) flight simulator and certified FAA Level ?D? (or higher) UC-12F/M (Beechcraft King Air B200) Proline 21 and UC-12W (Beechcraft King Air B350) (Proline 21 and Proline Fusion flight simulators. For UC-12B/F/M (non-Pro Line) flight simulator whose performance capabilities minimally meets all training and flight requirements defined in 14 CFR Part 142 and 61 and the applicable UC-12 NATOPS manuals. The simulator(s) shall minimally meet FAA Level ?C? or higher certification requirements under current FAA Advisory Circular 120-40 or 14 CFR Part 60 (FAA certification is not required).NAWCTSD intends to award in accordance with FAR Part 12 ? Acquisition of Commercial Items and FAR Part 15 ? Contracting by Negotiation. A commercial, Firm-Fixed-Price (FFP) Indefinite Quantity (IDIQ) contract is anticipated with one base year and four additional one-year option periods, for a total of five years. The estimated award date is June 2024.</t>
        </is>
      </c>
      <c r="M23" s="2" t="inlineStr">
        <is>
          <t>611512</t>
        </is>
      </c>
      <c r="N23" s="2" t="inlineStr">
        <is>
          <t>U099</t>
        </is>
      </c>
      <c r="O23" s="2" t="inlineStr"/>
      <c r="P23" s="2" t="inlineStr">
        <is>
          <t>Unknown pre-award; historical award retained only as answer key when mapped</t>
        </is>
      </c>
      <c r="Q23" s="2" t="inlineStr">
        <is>
          <t>Product / commercial supply candidate</t>
        </is>
      </c>
      <c r="R23" s="2" t="inlineStr">
        <is>
          <t>MRO tools and commercial hardware</t>
        </is>
      </c>
      <c r="S23" s="2" t="inlineStr">
        <is>
          <t>Orlando, FL, 32826, USA</t>
        </is>
      </c>
      <c r="T23" s="2" t="inlineStr">
        <is>
          <t>Orlando, FL, 32826, USA</t>
        </is>
      </c>
      <c r="U23" s="2" t="inlineStr">
        <is>
          <t>Direct notice/resource lookup required</t>
        </is>
      </c>
      <c r="V23" s="2" t="inlineStr">
        <is>
          <t>Yes — 2 notice version(s)</t>
        </is>
      </c>
      <c r="W23" s="2" t="inlineStr">
        <is>
          <t>Unknown — archive retrieval required</t>
        </is>
      </c>
      <c r="X23" s="2" t="inlineStr">
        <is>
          <t>Mapped from 2023-2025 award index</t>
        </is>
      </c>
      <c r="Y23" s="2" t="inlineStr">
        <is>
          <t>https://sam.gov/workspace/contract/opp/76f0f0970f234df2bdae4e94429a7011/view</t>
        </is>
      </c>
      <c r="Z23" s="2" t="inlineStr"/>
      <c r="AA23" s="2" t="inlineStr"/>
      <c r="AB23" s="2" t="inlineStr">
        <is>
          <t>Solicitation</t>
        </is>
      </c>
      <c r="AC23" s="2" t="inlineStr">
        <is>
          <t>No parent vehicle indicated at solicitation intake; verify clauses</t>
        </is>
      </c>
      <c r="AD23" s="2" t="inlineStr">
        <is>
          <t>Potentially yes — direct solicitation or combined notice</t>
        </is>
      </c>
      <c r="AE23" s="2" t="inlineStr">
        <is>
          <t>No evidence in metadata; verify solicitation</t>
        </is>
      </c>
      <c r="AF23" s="2" t="inlineStr">
        <is>
          <t>Potentially yes — subject to historical SAM registration and representations</t>
        </is>
      </c>
      <c r="AG23" s="2" t="inlineStr">
        <is>
          <t>No conflict detected in metadata; exact product review required</t>
        </is>
      </c>
      <c r="AH23" s="2" t="inlineStr">
        <is>
          <t>Exact product/NSN review required</t>
        </is>
      </c>
      <c r="AI23" s="2" t="inlineStr">
        <is>
          <t>Pass / no automatic exclusion detected</t>
        </is>
      </c>
      <c r="AJ23" s="2" t="inlineStr">
        <is>
          <t>Promising metadata; archive requirements review required</t>
        </is>
      </c>
      <c r="AK23" s="2" t="inlineStr">
        <is>
          <t>Unknown — never infer from award amount</t>
        </is>
      </c>
      <c r="AL23" s="2" t="inlineStr">
        <is>
          <t>Not modeled before archive and supplier-pricing gates</t>
        </is>
      </c>
      <c r="AM23" s="2" t="inlineStr">
        <is>
          <t>Unclassified pending requirements and sourcing</t>
        </is>
      </c>
      <c r="AN23" s="2" t="inlineStr">
        <is>
          <t>Not modeled before supplier pricing</t>
        </is>
      </c>
      <c r="AO23" s="2" t="inlineStr">
        <is>
          <t>90</t>
        </is>
      </c>
      <c r="AP23" s="2" t="inlineStr">
        <is>
          <t>75</t>
        </is>
      </c>
      <c r="AQ23" s="2" t="inlineStr">
        <is>
          <t>Home Run</t>
        </is>
      </c>
      <c r="AR23" s="2" t="inlineStr">
        <is>
          <t>Passes Gates 1-6 preliminarily; Gate 7 archive review pending</t>
        </is>
      </c>
      <c r="AS23" s="2" t="inlineStr">
        <is>
          <t>REVIEW — archive reconstruction</t>
        </is>
      </c>
      <c r="AT23" s="2" t="inlineStr">
        <is>
          <t>Moderate — official extract metadata; direct archive review pending</t>
        </is>
      </c>
      <c r="AU23" s="2" t="inlineStr">
        <is>
          <t>Selection role: Target-lane candidate. Solicitation family contains 2 notice version(s): 675195ee261e4930b4079d21c9a1d73d; 76f0f0970f234df2bdae4e94429a7011. Representative notice chosen by detail score, not outcome. Historical award mapping did not control selection.</t>
        </is>
      </c>
      <c r="AV23" s="2" t="inlineStr">
        <is>
          <t>67061</t>
        </is>
      </c>
    </row>
    <row r="24">
      <c r="A24" s="2" t="inlineStr">
        <is>
          <t>HOS01-023</t>
        </is>
      </c>
      <c r="B24" s="2" t="inlineStr">
        <is>
          <t>977af4b8a96a49379f92f8b9ff816b4e</t>
        </is>
      </c>
      <c r="C24" s="2" t="inlineStr">
        <is>
          <t>47PA0723Q0001</t>
        </is>
      </c>
      <c r="D24" s="2" t="inlineStr">
        <is>
          <t>https://sam.gov/workspace/contract/opp/977af4b8a96a49379f92f8b9ff816b4e/view</t>
        </is>
      </c>
      <c r="E24" s="2" t="inlineStr">
        <is>
          <t>Combined Synopsis/Solicitation</t>
        </is>
      </c>
      <c r="F24" s="2" t="inlineStr">
        <is>
          <t>2023-08-16</t>
        </is>
      </c>
      <c r="G24" s="2" t="inlineStr">
        <is>
          <t>2023-09-06</t>
        </is>
      </c>
      <c r="H24" s="2" t="inlineStr">
        <is>
          <t>GENERAL SERVICES ADMINISTRATION</t>
        </is>
      </c>
      <c r="I24" s="2" t="inlineStr">
        <is>
          <t>PUBLIC BUILDINGS SERVICE</t>
        </is>
      </c>
      <c r="J24" s="2" t="inlineStr">
        <is>
          <t>PBS OFFICE OF FACILITIES MANAGEMENT</t>
        </is>
      </c>
      <c r="K24" s="2" t="inlineStr">
        <is>
          <t>GSA: Unbundled Energy Attribute Certificates in Midcontinent Independent System Operator (MISO)</t>
        </is>
      </c>
      <c r="L24" s="2" t="inlineStr">
        <is>
          <t>08/29/2023 Amendment 003 - Extending deadline for receipt of quotes to 12:00 pm EDT on September 6, 2023. All other terms and conditions remain unchanged. 08/25/2023: Amendment 002 - Publishes questions and answers received in resposne to this soliciation and makes necessary revisions. Any changes to the Solicitation made as a result of the submitted questions are highlighted in bold font in the revised Solicitation attached to this Amendment. Also amended Attachments 1 through 4. Amendment 001- This version of the solicitation is searchable in Adobe for your convenience. It also changes the form in Section G (page 39) from an SF1449 to GSA 300. This Request for Quote (RFQ) is issued as a combined synopsis/solicitation for commercial products or commercial services prepared in accordance with the format in subpart 12.6, as supplemented with additional information included in this notice. This announcement constitutes the only solicitation; proposals are being requested and a written solicitation will not be issued. The incorporated provisions and clauses are those in effect through Federal Acquisition Circular (FAC) 2023-04. In accordance with FAR 12.603, the following provisions and clauses are applicable to this solicitation and may be reviewed/obtained in full text form either later in this RFQ and/or at http://www.acquisition.gov/far. The U.S. General Services Administration (GSA) is requesting quotes for the below quantity of unbundled Energy Attribute Certificates (EACs) from generation resources that deliver to the Midcontinent Independent System Operator (MISO) Balancing Authority to meet Federal environmental goals laid out in Section 203 of Executive Order (E.O.) 14057, Catalyzing Clean Energy Industries and Jobs Through Federal Sustainability (December 8, 202</t>
        </is>
      </c>
      <c r="M24" s="2" t="inlineStr">
        <is>
          <t>221122</t>
        </is>
      </c>
      <c r="N24" s="2" t="inlineStr">
        <is>
          <t>S112</t>
        </is>
      </c>
      <c r="O24" s="2" t="inlineStr">
        <is>
          <t>Total Small Business Set-Aside (FAR 19.5)</t>
        </is>
      </c>
      <c r="P24" s="2" t="inlineStr">
        <is>
          <t>Unknown pre-award; historical award retained only as answer key when mapped</t>
        </is>
      </c>
      <c r="Q24" s="2" t="inlineStr">
        <is>
          <t>Product / commercial supply candidate</t>
        </is>
      </c>
      <c r="R24" s="2" t="inlineStr">
        <is>
          <t>MRO tools and commercial hardware</t>
        </is>
      </c>
      <c r="S24" s="2" t="inlineStr"/>
      <c r="T24" s="2" t="inlineStr">
        <is>
          <t>Archive review required</t>
        </is>
      </c>
      <c r="U24" s="2" t="inlineStr">
        <is>
          <t>Direct notice/resource lookup required</t>
        </is>
      </c>
      <c r="V24" s="2" t="inlineStr">
        <is>
          <t>Yes — 8 notice version(s)</t>
        </is>
      </c>
      <c r="W24" s="2" t="inlineStr">
        <is>
          <t>Unknown — archive retrieval required</t>
        </is>
      </c>
      <c r="X24" s="2" t="inlineStr">
        <is>
          <t>Not yet recovered</t>
        </is>
      </c>
      <c r="Y24" s="2" t="inlineStr"/>
      <c r="Z24" s="2" t="inlineStr"/>
      <c r="AA24" s="2" t="inlineStr"/>
      <c r="AB24" s="2" t="inlineStr"/>
      <c r="AC24" s="2" t="inlineStr">
        <is>
          <t>No parent vehicle indicated at solicitation intake; verify clauses</t>
        </is>
      </c>
      <c r="AD24" s="2" t="inlineStr">
        <is>
          <t>Potentially yes — direct solicitation or combined notice</t>
        </is>
      </c>
      <c r="AE24" s="2" t="inlineStr">
        <is>
          <t>No evidence in metadata; verify solicitation</t>
        </is>
      </c>
      <c r="AF24" s="2" t="inlineStr">
        <is>
          <t>Potentially yes — subject to historical SAM registration and representations</t>
        </is>
      </c>
      <c r="AG24" s="2" t="inlineStr">
        <is>
          <t>No conflict detected in metadata; exact product review required</t>
        </is>
      </c>
      <c r="AH24" s="2" t="inlineStr">
        <is>
          <t>Exact product/NSN review required</t>
        </is>
      </c>
      <c r="AI24" s="2" t="inlineStr">
        <is>
          <t>Pass / no automatic exclusion detected</t>
        </is>
      </c>
      <c r="AJ24" s="2" t="inlineStr">
        <is>
          <t>Promising metadata; archive requirements review required</t>
        </is>
      </c>
      <c r="AK24" s="2" t="inlineStr">
        <is>
          <t>Unknown — never infer from award amount</t>
        </is>
      </c>
      <c r="AL24" s="2" t="inlineStr">
        <is>
          <t>Not modeled before archive and supplier-pricing gates</t>
        </is>
      </c>
      <c r="AM24" s="2" t="inlineStr">
        <is>
          <t>Unclassified pending requirements and sourcing</t>
        </is>
      </c>
      <c r="AN24" s="2" t="inlineStr">
        <is>
          <t>Not modeled before supplier pricing</t>
        </is>
      </c>
      <c r="AO24" s="2" t="inlineStr">
        <is>
          <t>90</t>
        </is>
      </c>
      <c r="AP24" s="2" t="inlineStr">
        <is>
          <t>75</t>
        </is>
      </c>
      <c r="AQ24" s="2" t="inlineStr">
        <is>
          <t>Home Run</t>
        </is>
      </c>
      <c r="AR24" s="2" t="inlineStr">
        <is>
          <t>Passes Gates 1-6 preliminarily; Gate 7 archive review pending</t>
        </is>
      </c>
      <c r="AS24" s="2" t="inlineStr">
        <is>
          <t>REVIEW — archive reconstruction</t>
        </is>
      </c>
      <c r="AT24" s="2" t="inlineStr">
        <is>
          <t>Moderate — official extract metadata; direct archive review pending</t>
        </is>
      </c>
      <c r="AU24" s="2" t="inlineStr">
        <is>
          <t>Selection role: Target-lane candidate. Solicitation family contains 8 notice version(s): 0df67df80e3d422cb57cd551b77f260b; e3ce0d8459a5414b88a83bc72621bb4d; fba39d602f524b5db912c5d32902ac83; 205cb44032974cda891bbdb363d419f9; 5d976d8b085547f6b5ebb20cb0ba6e63; 3af9432f8ca54d2089254beb1d2bbbc0; 977af4b8a96a49379f92f8b9ff816b4e; 3cf65b97b07945749f1b8f129ae203c2. Representative notice chosen by detail score, not outcome. Historical award mapping did not control selection.</t>
        </is>
      </c>
      <c r="AV24" s="2" t="inlineStr">
        <is>
          <t>68364</t>
        </is>
      </c>
    </row>
    <row r="25">
      <c r="A25" s="2" t="inlineStr">
        <is>
          <t>HOS01-024</t>
        </is>
      </c>
      <c r="B25" s="2" t="inlineStr">
        <is>
          <t>74dd32083b914f0b80ea97a2072699e6</t>
        </is>
      </c>
      <c r="C25" s="2" t="inlineStr">
        <is>
          <t>SPE607-23-R-0203</t>
        </is>
      </c>
      <c r="D25" s="2" t="inlineStr">
        <is>
          <t>https://sam.gov/workspace/contract/opp/74dd32083b914f0b80ea97a2072699e6/view</t>
        </is>
      </c>
      <c r="E25" s="2" t="inlineStr">
        <is>
          <t>Combined Synopsis/Solicitation</t>
        </is>
      </c>
      <c r="F25" s="2" t="inlineStr">
        <is>
          <t>2023-05-01</t>
        </is>
      </c>
      <c r="G25" s="2" t="inlineStr">
        <is>
          <t>2023-06-02</t>
        </is>
      </c>
      <c r="H25" s="2" t="inlineStr">
        <is>
          <t>DEPT OF DEFENSE</t>
        </is>
      </c>
      <c r="I25" s="2" t="inlineStr">
        <is>
          <t>DEFENSE LOGISTICS AGENCY</t>
        </is>
      </c>
      <c r="J25" s="2" t="inlineStr">
        <is>
          <t>DLA ENERGY</t>
        </is>
      </c>
      <c r="K25" s="2" t="inlineStr">
        <is>
          <t>1.2A AFRICOM SOLICITATION SPE607-23-R-0203</t>
        </is>
      </c>
      <c r="L25" s="2" t="inlineStr">
        <is>
          <t>This is a combined synopsis/solicitation for commercial products or commercial services prepared in accordance with the format in subpart 12.6, as supplemented with additional information included in this notice. This announcement constitutes the only solicitation; proposals are being requested and a written solicitation will not be issued. Solicitation number SPE60723R0203 is issued as a request for proposal (RFP).The solicitation document and incorporated provisions and clauses are those in effect through Federal Acquisition Regulation. And B15.01, SUPPLIES AND ESTIMATED QUANTITIES TO BE FURNISHED (INTO-PLANE) (DLA ENERGY (DEC 2018). See Attachments: 1.2A Africom Solicitation Provision Clauses, 1.2A Africom Schedule, 1.2A Africom Offer Submission Package (OSP), Commitment Letter Template, MILSTD1548HwithChange1.</t>
        </is>
      </c>
      <c r="M25" s="2" t="inlineStr">
        <is>
          <t>324110</t>
        </is>
      </c>
      <c r="N25" s="2" t="inlineStr">
        <is>
          <t>9130</t>
        </is>
      </c>
      <c r="O25" s="2" t="inlineStr"/>
      <c r="P25" s="2" t="inlineStr">
        <is>
          <t>Unknown pre-award; historical award retained only as answer key when mapped</t>
        </is>
      </c>
      <c r="Q25" s="2" t="inlineStr">
        <is>
          <t>Product / commercial supply candidate</t>
        </is>
      </c>
      <c r="R25" s="2" t="inlineStr">
        <is>
          <t>MRO tools and commercial hardware</t>
        </is>
      </c>
      <c r="S25" s="2" t="inlineStr"/>
      <c r="T25" s="2" t="inlineStr">
        <is>
          <t>Archive review required</t>
        </is>
      </c>
      <c r="U25" s="2" t="inlineStr">
        <is>
          <t>Direct notice/resource lookup required</t>
        </is>
      </c>
      <c r="V25" s="2" t="inlineStr">
        <is>
          <t>No separate version identified in extract</t>
        </is>
      </c>
      <c r="W25" s="2" t="inlineStr">
        <is>
          <t>Unknown — archive retrieval required</t>
        </is>
      </c>
      <c r="X25" s="2" t="inlineStr">
        <is>
          <t>Not yet recovered</t>
        </is>
      </c>
      <c r="Y25" s="2" t="inlineStr"/>
      <c r="Z25" s="2" t="inlineStr"/>
      <c r="AA25" s="2" t="inlineStr"/>
      <c r="AB25" s="2" t="inlineStr"/>
      <c r="AC25" s="2" t="inlineStr">
        <is>
          <t>No parent vehicle indicated at solicitation intake; verify clauses</t>
        </is>
      </c>
      <c r="AD25" s="2" t="inlineStr">
        <is>
          <t>Potentially yes — direct solicitation or combined notice</t>
        </is>
      </c>
      <c r="AE25" s="2" t="inlineStr">
        <is>
          <t>No evidence in metadata; verify solicitation</t>
        </is>
      </c>
      <c r="AF25" s="2" t="inlineStr">
        <is>
          <t>Potentially yes — subject to historical SAM registration and representations</t>
        </is>
      </c>
      <c r="AG25" s="2" t="inlineStr">
        <is>
          <t>No conflict detected in metadata; exact product review required</t>
        </is>
      </c>
      <c r="AH25" s="2" t="inlineStr">
        <is>
          <t>Exact product/NSN review required</t>
        </is>
      </c>
      <c r="AI25" s="2" t="inlineStr">
        <is>
          <t>Pass / no automatic exclusion detected</t>
        </is>
      </c>
      <c r="AJ25" s="2" t="inlineStr">
        <is>
          <t>Partial metadata; archive retrieval required</t>
        </is>
      </c>
      <c r="AK25" s="2" t="inlineStr">
        <is>
          <t>Unknown — never infer from award amount</t>
        </is>
      </c>
      <c r="AL25" s="2" t="inlineStr">
        <is>
          <t>Not modeled before archive and supplier-pricing gates</t>
        </is>
      </c>
      <c r="AM25" s="2" t="inlineStr">
        <is>
          <t>Unclassified pending requirements and sourcing</t>
        </is>
      </c>
      <c r="AN25" s="2" t="inlineStr">
        <is>
          <t>Not modeled before supplier pricing</t>
        </is>
      </c>
      <c r="AO25" s="2" t="inlineStr">
        <is>
          <t>90</t>
        </is>
      </c>
      <c r="AP25" s="2" t="inlineStr">
        <is>
          <t>67</t>
        </is>
      </c>
      <c r="AQ25" s="2" t="inlineStr">
        <is>
          <t>Triple</t>
        </is>
      </c>
      <c r="AR25" s="2" t="inlineStr">
        <is>
          <t>Passes Gates 1-6 preliminarily; Gate 7 archive review pending</t>
        </is>
      </c>
      <c r="AS25" s="2" t="inlineStr">
        <is>
          <t>REVIEW — archive reconstruction</t>
        </is>
      </c>
      <c r="AT25" s="2" t="inlineStr">
        <is>
          <t>Moderate — official extract metadata; direct archive review pending</t>
        </is>
      </c>
      <c r="AU25" s="2" t="inlineStr">
        <is>
          <t>Selection role: Target-lane candidate. Solicitation family contains 1 notice version(s): 74dd32083b914f0b80ea97a2072699e6. Representative notice chosen by detail score, not outcome. Historical award mapping did not control selection.</t>
        </is>
      </c>
      <c r="AV25" s="2" t="inlineStr">
        <is>
          <t>69215</t>
        </is>
      </c>
    </row>
    <row r="26">
      <c r="A26" s="2" t="inlineStr">
        <is>
          <t>HOS01-025</t>
        </is>
      </c>
      <c r="B26" s="2" t="inlineStr">
        <is>
          <t>a58eb71d72bb42b0b903a891acb7c323</t>
        </is>
      </c>
      <c r="C26" s="2" t="inlineStr">
        <is>
          <t>68HERH24Q0118</t>
        </is>
      </c>
      <c r="D26" s="2" t="inlineStr">
        <is>
          <t>https://sam.gov/workspace/contract/opp/a58eb71d72bb42b0b903a891acb7c323/view</t>
        </is>
      </c>
      <c r="E26" s="2" t="inlineStr">
        <is>
          <t>Solicitation</t>
        </is>
      </c>
      <c r="F26" s="2" t="inlineStr">
        <is>
          <t>2024-09-20</t>
        </is>
      </c>
      <c r="G26" s="2" t="inlineStr">
        <is>
          <t>2024-09-24</t>
        </is>
      </c>
      <c r="H26" s="2" t="inlineStr">
        <is>
          <t>ENVIRONMENTAL PROTECTION AGENCY</t>
        </is>
      </c>
      <c r="I26" s="2" t="inlineStr">
        <is>
          <t>ENVIRONMENTAL PROTECTION AGENCY</t>
        </is>
      </c>
      <c r="J26" s="2" t="inlineStr">
        <is>
          <t>HEADQUARTERS ACQUISITION DIV (HQAD)</t>
        </is>
      </c>
      <c r="K26" s="2" t="inlineStr">
        <is>
          <t>FLIR IR camera Purchase of a FLIR Gx620 IR camera</t>
        </is>
      </c>
      <c r="L26" s="2" t="inlineStr">
        <is>
          <t>FLIR IR camera Purchase of a FLIR Gx620 IR camera for field identification of volatile organic compounds from tanks, valves, pumps, and other equipment located at stationary sources. Equipment must be capable of operating in industrial settings. This equipment will be sent to USEPA-NEIC for their mission-critical inspection work.</t>
        </is>
      </c>
      <c r="M26" s="2" t="inlineStr">
        <is>
          <t>334310</t>
        </is>
      </c>
      <c r="N26" s="2" t="inlineStr">
        <is>
          <t>6710</t>
        </is>
      </c>
      <c r="O26" s="2" t="inlineStr">
        <is>
          <t>Total Small Business Set-Aside (FAR 19.5)</t>
        </is>
      </c>
      <c r="P26" s="2" t="inlineStr">
        <is>
          <t>Unknown pre-award; historical award retained only as answer key when mapped</t>
        </is>
      </c>
      <c r="Q26" s="2" t="inlineStr">
        <is>
          <t>Product / commercial supply candidate</t>
        </is>
      </c>
      <c r="R26" s="2" t="inlineStr">
        <is>
          <t>MRO tools and commercial hardware</t>
        </is>
      </c>
      <c r="S26" s="2" t="inlineStr"/>
      <c r="T26" s="2" t="inlineStr">
        <is>
          <t>Archive review required</t>
        </is>
      </c>
      <c r="U26" s="2" t="inlineStr">
        <is>
          <t>Direct notice/resource lookup required</t>
        </is>
      </c>
      <c r="V26" s="2" t="inlineStr">
        <is>
          <t>No separate version identified in extract</t>
        </is>
      </c>
      <c r="W26" s="2" t="inlineStr">
        <is>
          <t>Unknown — archive retrieval required</t>
        </is>
      </c>
      <c r="X26" s="2" t="inlineStr">
        <is>
          <t>Not yet recovered</t>
        </is>
      </c>
      <c r="Y26" s="2" t="inlineStr"/>
      <c r="Z26" s="2" t="inlineStr"/>
      <c r="AA26" s="2" t="inlineStr"/>
      <c r="AB26" s="2" t="inlineStr"/>
      <c r="AC26" s="2" t="inlineStr">
        <is>
          <t>No parent vehicle indicated at solicitation intake; verify clauses</t>
        </is>
      </c>
      <c r="AD26" s="2" t="inlineStr">
        <is>
          <t>Potentially yes — direct solicitation or combined notice</t>
        </is>
      </c>
      <c r="AE26" s="2" t="inlineStr">
        <is>
          <t>No evidence in metadata; verify solicitation</t>
        </is>
      </c>
      <c r="AF26" s="2" t="inlineStr">
        <is>
          <t>Potentially yes — subject to historical SAM registration and representations</t>
        </is>
      </c>
      <c r="AG26" s="2" t="inlineStr">
        <is>
          <t>No conflict detected in metadata; exact product review required</t>
        </is>
      </c>
      <c r="AH26" s="2" t="inlineStr">
        <is>
          <t>Exact product/NSN review required</t>
        </is>
      </c>
      <c r="AI26" s="2" t="inlineStr">
        <is>
          <t>Pass / no automatic exclusion detected</t>
        </is>
      </c>
      <c r="AJ26" s="2" t="inlineStr">
        <is>
          <t>Partial metadata; archive retrieval required</t>
        </is>
      </c>
      <c r="AK26" s="2" t="inlineStr">
        <is>
          <t>Unknown — never infer from award amount</t>
        </is>
      </c>
      <c r="AL26" s="2" t="inlineStr">
        <is>
          <t>Not modeled before archive and supplier-pricing gates</t>
        </is>
      </c>
      <c r="AM26" s="2" t="inlineStr">
        <is>
          <t>Unclassified pending requirements and sourcing</t>
        </is>
      </c>
      <c r="AN26" s="2" t="inlineStr">
        <is>
          <t>Not modeled before supplier pricing</t>
        </is>
      </c>
      <c r="AO26" s="2" t="inlineStr">
        <is>
          <t>90</t>
        </is>
      </c>
      <c r="AP26" s="2" t="inlineStr">
        <is>
          <t>67</t>
        </is>
      </c>
      <c r="AQ26" s="2" t="inlineStr">
        <is>
          <t>Triple</t>
        </is>
      </c>
      <c r="AR26" s="2" t="inlineStr">
        <is>
          <t>Passes Gates 1-6 preliminarily; Gate 7 archive review pending</t>
        </is>
      </c>
      <c r="AS26" s="2" t="inlineStr">
        <is>
          <t>REVIEW — archive reconstruction</t>
        </is>
      </c>
      <c r="AT26" s="2" t="inlineStr">
        <is>
          <t>Moderate — official extract metadata; direct archive review pending</t>
        </is>
      </c>
      <c r="AU26" s="2" t="inlineStr">
        <is>
          <t>Selection role: Target-lane candidate. Solicitation family contains 1 notice version(s): a58eb71d72bb42b0b903a891acb7c323. Representative notice chosen by detail score, not outcome. Historical award mapping did not control selection.</t>
        </is>
      </c>
      <c r="AV26" s="2" t="inlineStr">
        <is>
          <t>65379</t>
        </is>
      </c>
    </row>
    <row r="27">
      <c r="A27" s="2" t="inlineStr">
        <is>
          <t>HOS01-026</t>
        </is>
      </c>
      <c r="B27" s="2" t="inlineStr">
        <is>
          <t>f391a126bd8c4f34941ab29df810e25b</t>
        </is>
      </c>
      <c r="C27" s="2" t="inlineStr">
        <is>
          <t>SP330023R0006</t>
        </is>
      </c>
      <c r="D27" s="2" t="inlineStr">
        <is>
          <t>https://sam.gov/workspace/contract/opp/f391a126bd8c4f34941ab29df810e25b/view</t>
        </is>
      </c>
      <c r="E27" s="2" t="inlineStr">
        <is>
          <t>Combined Synopsis/Solicitation</t>
        </is>
      </c>
      <c r="F27" s="2" t="inlineStr">
        <is>
          <t>2023-04-03</t>
        </is>
      </c>
      <c r="G27" s="2" t="inlineStr">
        <is>
          <t>2023-06-14</t>
        </is>
      </c>
      <c r="H27" s="2" t="inlineStr">
        <is>
          <t>DEPT OF DEFENSE</t>
        </is>
      </c>
      <c r="I27" s="2" t="inlineStr">
        <is>
          <t>DEFENSE LOGISTICS AGENCY</t>
        </is>
      </c>
      <c r="J27" s="2" t="inlineStr">
        <is>
          <t>DLA DISTRIBUTION</t>
        </is>
      </c>
      <c r="K27" s="2" t="inlineStr">
        <is>
          <t>Wooden Special Packaging Instructions (SPI) shipping containers for DLA Distribution</t>
        </is>
      </c>
      <c r="L27" s="2" t="inlineStr">
        <is>
          <t>4/3 - original solicitation was posted. 4/14 - amendment 0001 posted with drawings for CLINS 0034, 0040, 0041, 0042 and 0043 plus the first Q&amp;A session (excel) attached. 5/9 - amendment 0002 posted with Q&amp;A round 2. 5/12 - amendment 0003 posted extending deadline to 5/30/2023. 5/30 - amendment 0004 posted extending deadline to 6/7/2023. 6/6 - amendment 0005 posted extending deadline to 6/14/2023.</t>
        </is>
      </c>
      <c r="M27" s="2" t="inlineStr">
        <is>
          <t>321920</t>
        </is>
      </c>
      <c r="N27" s="2" t="inlineStr">
        <is>
          <t>8145</t>
        </is>
      </c>
      <c r="O27" s="2" t="inlineStr">
        <is>
          <t>Total Small Business Set-Aside (FAR 19.5)</t>
        </is>
      </c>
      <c r="P27" s="2" t="inlineStr">
        <is>
          <t>Unknown pre-award; historical award retained only as answer key when mapped</t>
        </is>
      </c>
      <c r="Q27" s="2" t="inlineStr">
        <is>
          <t>Product / commercial supply candidate</t>
        </is>
      </c>
      <c r="R27" s="2" t="inlineStr">
        <is>
          <t>Packaging, shipping, storage and containers</t>
        </is>
      </c>
      <c r="S27" s="2" t="inlineStr">
        <is>
          <t>GA, 31098, USA</t>
        </is>
      </c>
      <c r="T27" s="2" t="inlineStr">
        <is>
          <t>GA, 31098, USA</t>
        </is>
      </c>
      <c r="U27" s="2" t="inlineStr">
        <is>
          <t>Direct notice/resource lookup required</t>
        </is>
      </c>
      <c r="V27" s="2" t="inlineStr">
        <is>
          <t>Yes — 6 notice version(s)</t>
        </is>
      </c>
      <c r="W27" s="2" t="inlineStr">
        <is>
          <t>Unknown — archive retrieval required</t>
        </is>
      </c>
      <c r="X27" s="2" t="inlineStr">
        <is>
          <t>Not yet recovered</t>
        </is>
      </c>
      <c r="Y27" s="2" t="inlineStr"/>
      <c r="Z27" s="2" t="inlineStr"/>
      <c r="AA27" s="2" t="inlineStr"/>
      <c r="AB27" s="2" t="inlineStr"/>
      <c r="AC27" s="2" t="inlineStr">
        <is>
          <t>No parent vehicle indicated at solicitation intake; verify clauses</t>
        </is>
      </c>
      <c r="AD27" s="2" t="inlineStr">
        <is>
          <t>Potentially yes — direct solicitation or combined notice</t>
        </is>
      </c>
      <c r="AE27" s="2" t="inlineStr">
        <is>
          <t>No evidence in metadata; verify solicitation</t>
        </is>
      </c>
      <c r="AF27" s="2" t="inlineStr">
        <is>
          <t>Potentially yes — subject to historical SAM registration and representations</t>
        </is>
      </c>
      <c r="AG27" s="2" t="inlineStr">
        <is>
          <t>No conflict detected in metadata; exact product review required</t>
        </is>
      </c>
      <c r="AH27" s="2" t="inlineStr">
        <is>
          <t>Exact product/NSN review required</t>
        </is>
      </c>
      <c r="AI27" s="2" t="inlineStr">
        <is>
          <t>Pass / no automatic exclusion detected</t>
        </is>
      </c>
      <c r="AJ27" s="2" t="inlineStr">
        <is>
          <t>Partial metadata; archive retrieval required</t>
        </is>
      </c>
      <c r="AK27" s="2" t="inlineStr">
        <is>
          <t>Unknown — never infer from award amount</t>
        </is>
      </c>
      <c r="AL27" s="2" t="inlineStr">
        <is>
          <t>Not modeled before archive and supplier-pricing gates</t>
        </is>
      </c>
      <c r="AM27" s="2" t="inlineStr">
        <is>
          <t>Unclassified pending requirements and sourcing</t>
        </is>
      </c>
      <c r="AN27" s="2" t="inlineStr">
        <is>
          <t>Not modeled before supplier pricing</t>
        </is>
      </c>
      <c r="AO27" s="2" t="inlineStr">
        <is>
          <t>90</t>
        </is>
      </c>
      <c r="AP27" s="2" t="inlineStr">
        <is>
          <t>67</t>
        </is>
      </c>
      <c r="AQ27" s="2" t="inlineStr">
        <is>
          <t>Triple</t>
        </is>
      </c>
      <c r="AR27" s="2" t="inlineStr">
        <is>
          <t>Passes Gates 1-6 preliminarily; Gate 7 archive review pending</t>
        </is>
      </c>
      <c r="AS27" s="2" t="inlineStr">
        <is>
          <t>REVIEW — archive reconstruction</t>
        </is>
      </c>
      <c r="AT27" s="2" t="inlineStr">
        <is>
          <t>Moderate — official extract metadata; direct archive review pending</t>
        </is>
      </c>
      <c r="AU27" s="2" t="inlineStr">
        <is>
          <t>Selection role: Target-lane candidate. Solicitation family contains 6 notice version(s): d43e96e8121d49238f3726f4c74ad133; f52d7ec8535e4833aff9e0cd6d1974d0; f3ba5002b5444659a0f1f3fd966af796; 1b3363010d8b43b78fbd540aa34e5d82; 88b97b47f109428c83c03da5e8ef5a65; f391a126bd8c4f34941ab29df810e25b. Representative notice chosen by detail score, not outcome. Historical award mapping did not control selection.</t>
        </is>
      </c>
      <c r="AV27" s="2" t="inlineStr">
        <is>
          <t>68997</t>
        </is>
      </c>
    </row>
    <row r="28">
      <c r="A28" s="2" t="inlineStr">
        <is>
          <t>HOS01-027</t>
        </is>
      </c>
      <c r="B28" s="2" t="inlineStr">
        <is>
          <t>b00aaf0eb32a44ea93920120988ae299</t>
        </is>
      </c>
      <c r="C28" s="2" t="inlineStr">
        <is>
          <t>SP330023R0008</t>
        </is>
      </c>
      <c r="D28" s="2" t="inlineStr">
        <is>
          <t>https://sam.gov/workspace/contract/opp/b00aaf0eb32a44ea93920120988ae299/view</t>
        </is>
      </c>
      <c r="E28" s="2" t="inlineStr">
        <is>
          <t>Combined Synopsis/Solicitation</t>
        </is>
      </c>
      <c r="F28" s="2" t="inlineStr">
        <is>
          <t>2023-07-18</t>
        </is>
      </c>
      <c r="G28" s="2" t="inlineStr">
        <is>
          <t>2023-10-16</t>
        </is>
      </c>
      <c r="H28" s="2" t="inlineStr">
        <is>
          <t>DEPT OF DEFENSE</t>
        </is>
      </c>
      <c r="I28" s="2" t="inlineStr">
        <is>
          <t>DEFENSE LOGISTICS AGENCY</t>
        </is>
      </c>
      <c r="J28" s="2" t="inlineStr">
        <is>
          <t>DLA DISTRIBUTION</t>
        </is>
      </c>
      <c r="K28" s="2" t="inlineStr">
        <is>
          <t>FIBERBOARD (FB) SPECIAL PACKAGING INSTRUCTION (SPI) SHIPPING CONTAINERS FOR DEFENSE LOGISTICS AGENCY DISTRIBUTION WARNER ROBINS, GA (DDWG)</t>
        </is>
      </c>
      <c r="L28" s="2" t="inlineStr">
        <is>
          <t>See attached documents. Amendment 0005 - posted 10/4/2023 Amendment 0004 - posted 9/19/2023 Amendment 0003 - posted 9/5/2023 Amendment 0002 - posted 8/28/2023 Amendment 0001 - posted 8/11/2023 Original solicitation - posted 7/18/2023</t>
        </is>
      </c>
      <c r="M28" s="2" t="inlineStr">
        <is>
          <t>321920</t>
        </is>
      </c>
      <c r="N28" s="2" t="inlineStr">
        <is>
          <t>8145</t>
        </is>
      </c>
      <c r="O28" s="2" t="inlineStr">
        <is>
          <t>Total Small Business Set-Aside (FAR 19.5)</t>
        </is>
      </c>
      <c r="P28" s="2" t="inlineStr">
        <is>
          <t>Unknown pre-award; historical award retained only as answer key when mapped</t>
        </is>
      </c>
      <c r="Q28" s="2" t="inlineStr">
        <is>
          <t>Product / commercial supply candidate</t>
        </is>
      </c>
      <c r="R28" s="2" t="inlineStr">
        <is>
          <t>Packaging, shipping, storage and containers</t>
        </is>
      </c>
      <c r="S28" s="2" t="inlineStr">
        <is>
          <t>Warner Robins, GA, USA</t>
        </is>
      </c>
      <c r="T28" s="2" t="inlineStr">
        <is>
          <t>Warner Robins, GA, USA</t>
        </is>
      </c>
      <c r="U28" s="2" t="inlineStr">
        <is>
          <t>Direct notice/resource lookup required</t>
        </is>
      </c>
      <c r="V28" s="2" t="inlineStr">
        <is>
          <t>Yes — 7 notice version(s)</t>
        </is>
      </c>
      <c r="W28" s="2" t="inlineStr">
        <is>
          <t>Unknown — archive retrieval required</t>
        </is>
      </c>
      <c r="X28" s="2" t="inlineStr">
        <is>
          <t>Not yet recovered</t>
        </is>
      </c>
      <c r="Y28" s="2" t="inlineStr"/>
      <c r="Z28" s="2" t="inlineStr"/>
      <c r="AA28" s="2" t="inlineStr"/>
      <c r="AB28" s="2" t="inlineStr"/>
      <c r="AC28" s="2" t="inlineStr">
        <is>
          <t>No parent vehicle indicated at solicitation intake; verify clauses</t>
        </is>
      </c>
      <c r="AD28" s="2" t="inlineStr">
        <is>
          <t>Potentially yes — direct solicitation or combined notice</t>
        </is>
      </c>
      <c r="AE28" s="2" t="inlineStr">
        <is>
          <t>No evidence in metadata; verify solicitation</t>
        </is>
      </c>
      <c r="AF28" s="2" t="inlineStr">
        <is>
          <t>Potentially yes — subject to historical SAM registration and representations</t>
        </is>
      </c>
      <c r="AG28" s="2" t="inlineStr">
        <is>
          <t>No conflict detected in metadata; exact product review required</t>
        </is>
      </c>
      <c r="AH28" s="2" t="inlineStr">
        <is>
          <t>Exact product/NSN review required</t>
        </is>
      </c>
      <c r="AI28" s="2" t="inlineStr">
        <is>
          <t>Pass / no automatic exclusion detected</t>
        </is>
      </c>
      <c r="AJ28" s="2" t="inlineStr">
        <is>
          <t>Sparse metadata; high Gate 7 risk</t>
        </is>
      </c>
      <c r="AK28" s="2" t="inlineStr">
        <is>
          <t>Unknown — never infer from award amount</t>
        </is>
      </c>
      <c r="AL28" s="2" t="inlineStr">
        <is>
          <t>Not modeled before archive and supplier-pricing gates</t>
        </is>
      </c>
      <c r="AM28" s="2" t="inlineStr">
        <is>
          <t>Unclassified pending requirements and sourcing</t>
        </is>
      </c>
      <c r="AN28" s="2" t="inlineStr">
        <is>
          <t>Not modeled before supplier pricing</t>
        </is>
      </c>
      <c r="AO28" s="2" t="inlineStr">
        <is>
          <t>90</t>
        </is>
      </c>
      <c r="AP28" s="2" t="inlineStr">
        <is>
          <t>60</t>
        </is>
      </c>
      <c r="AQ28" s="2" t="inlineStr">
        <is>
          <t>Double</t>
        </is>
      </c>
      <c r="AR28" s="2" t="inlineStr">
        <is>
          <t>Passes Gates 1-6 preliminarily; Gate 7 archive review pending</t>
        </is>
      </c>
      <c r="AS28" s="2" t="inlineStr">
        <is>
          <t>REVIEW — archive reconstruction</t>
        </is>
      </c>
      <c r="AT28" s="2" t="inlineStr">
        <is>
          <t>Moderate — official extract metadata; direct archive review pending</t>
        </is>
      </c>
      <c r="AU28" s="2" t="inlineStr">
        <is>
          <t>Selection role: Target-lane candidate. Solicitation family contains 7 notice version(s): e2aecc8be22145e999b5fe793dab0333; 09822a314bef45918ec1c4f7e52b85a1; c907dbdcabee45ee80925b4cef139b7a; bd293e0e68524abfb5ebbb50adffdc58; 16ff0a323d79486b9e92985a3c07ccb9; fa174bd667c84215adf67266cba5cd1e; b00aaf0eb32a44ea93920120988ae299. Representative notice chosen by detail score, not outcome. Historical award mapping did not control selection.</t>
        </is>
      </c>
      <c r="AV28" s="2" t="inlineStr">
        <is>
          <t>68152</t>
        </is>
      </c>
    </row>
    <row r="29">
      <c r="A29" s="2" t="inlineStr">
        <is>
          <t>HOS01-028</t>
        </is>
      </c>
      <c r="B29" s="2" t="inlineStr">
        <is>
          <t>a437801f8f3b4b40af49b9301fd6bc3f</t>
        </is>
      </c>
      <c r="C29" s="2" t="inlineStr">
        <is>
          <t>SPE2D223R0003</t>
        </is>
      </c>
      <c r="D29" s="2" t="inlineStr">
        <is>
          <t>https://sam.gov/workspace/contract/opp/a437801f8f3b4b40af49b9301fd6bc3f/view</t>
        </is>
      </c>
      <c r="E29" s="2" t="inlineStr">
        <is>
          <t>Solicitation</t>
        </is>
      </c>
      <c r="F29" s="2" t="inlineStr">
        <is>
          <t>2023-01-04</t>
        </is>
      </c>
      <c r="G29" s="2" t="inlineStr">
        <is>
          <t>2023-02-17</t>
        </is>
      </c>
      <c r="H29" s="2" t="inlineStr">
        <is>
          <t>DEPT OF DEFENSE</t>
        </is>
      </c>
      <c r="I29" s="2" t="inlineStr">
        <is>
          <t>DEFENSE LOGISTICS AGENCY</t>
        </is>
      </c>
      <c r="J29" s="2" t="inlineStr">
        <is>
          <t>DLA TROOP SUPPORT</t>
        </is>
      </c>
      <c r="K29" s="2" t="inlineStr">
        <is>
          <t>Sumatriptan Succinate Tablets</t>
        </is>
      </c>
      <c r="L29" s="2" t="inlineStr">
        <is>
          <t>Amendment 0003 issued February 03,2023 to extend the closing date from February 03, 2023 3:00 PM to February 17, 2023 3:00 PM EST. Amendment 0002 issued January 04,2023 to extend the closing date from January 20, 2023 3:00 PM to February 03, 2023 3:00 PM EST. Amemdment 0001 issued December 15, 2022 to incorporate statement, DOD Class Deviation 2023-O0001, Verification of Eligibility of Small Business Joint Ventures, into solicitation. SPE2D2-23-R-0003 SUMATRIPTAN SUCCINATE TABLET SOLICITATION</t>
        </is>
      </c>
      <c r="M29" s="2" t="inlineStr">
        <is>
          <t>325412</t>
        </is>
      </c>
      <c r="N29" s="2" t="inlineStr">
        <is>
          <t>6505</t>
        </is>
      </c>
      <c r="O29" s="2" t="inlineStr"/>
      <c r="P29" s="2" t="inlineStr">
        <is>
          <t>Unknown pre-award; historical award retained only as answer key when mapped</t>
        </is>
      </c>
      <c r="Q29" s="2" t="inlineStr">
        <is>
          <t>Product / commercial supply candidate</t>
        </is>
      </c>
      <c r="R29" s="2" t="inlineStr">
        <is>
          <t>Basic IT accessories and standard equipment</t>
        </is>
      </c>
      <c r="S29" s="2" t="inlineStr"/>
      <c r="T29" s="2" t="inlineStr">
        <is>
          <t>Archive review required</t>
        </is>
      </c>
      <c r="U29" s="2" t="inlineStr">
        <is>
          <t>Direct notice/resource lookup required</t>
        </is>
      </c>
      <c r="V29" s="2" t="inlineStr">
        <is>
          <t>Yes — 2 notice version(s)</t>
        </is>
      </c>
      <c r="W29" s="2" t="inlineStr">
        <is>
          <t>Unknown — archive retrieval required</t>
        </is>
      </c>
      <c r="X29" s="2" t="inlineStr">
        <is>
          <t>Mapped from 2023-2025 award index</t>
        </is>
      </c>
      <c r="Y29" s="2" t="inlineStr">
        <is>
          <t>https://sam.gov/workspace/contract/opp/03e563923eba4961b27d01f9383f7fd8/view</t>
        </is>
      </c>
      <c r="Z29" s="2" t="inlineStr">
        <is>
          <t>GOLDEN STATE MEDICAL SUPPLY INC Camarillo CA 93012 USA</t>
        </is>
      </c>
      <c r="AA29" s="2" t="inlineStr">
        <is>
          <t>14927157.36</t>
        </is>
      </c>
      <c r="AB29" s="2" t="inlineStr">
        <is>
          <t>Award Notice</t>
        </is>
      </c>
      <c r="AC29" s="2" t="inlineStr">
        <is>
          <t>No parent vehicle indicated at solicitation intake; verify clauses</t>
        </is>
      </c>
      <c r="AD29" s="2" t="inlineStr">
        <is>
          <t>Potentially yes — direct solicitation or combined notice</t>
        </is>
      </c>
      <c r="AE29" s="2" t="inlineStr">
        <is>
          <t>No evidence in metadata; verify solicitation</t>
        </is>
      </c>
      <c r="AF29" s="2" t="inlineStr">
        <is>
          <t>Potentially yes — subject to historical SAM registration and representations</t>
        </is>
      </c>
      <c r="AG29" s="2" t="inlineStr">
        <is>
          <t>No conflict detected in metadata; exact product review required</t>
        </is>
      </c>
      <c r="AH29" s="2" t="inlineStr">
        <is>
          <t>Exact product/NSN review required</t>
        </is>
      </c>
      <c r="AI29" s="2" t="inlineStr">
        <is>
          <t>Pass / no automatic exclusion detected</t>
        </is>
      </c>
      <c r="AJ29" s="2" t="inlineStr">
        <is>
          <t>Partial metadata; archive retrieval required</t>
        </is>
      </c>
      <c r="AK29" s="2" t="inlineStr">
        <is>
          <t>Unknown — never infer from award amount</t>
        </is>
      </c>
      <c r="AL29" s="2" t="inlineStr">
        <is>
          <t>Not modeled before archive and supplier-pricing gates</t>
        </is>
      </c>
      <c r="AM29" s="2" t="inlineStr">
        <is>
          <t>Unclassified pending requirements and sourcing</t>
        </is>
      </c>
      <c r="AN29" s="2" t="inlineStr">
        <is>
          <t>Not modeled before supplier pricing</t>
        </is>
      </c>
      <c r="AO29" s="2" t="inlineStr">
        <is>
          <t>90</t>
        </is>
      </c>
      <c r="AP29" s="2" t="inlineStr">
        <is>
          <t>52</t>
        </is>
      </c>
      <c r="AQ29" s="2" t="inlineStr">
        <is>
          <t>Double</t>
        </is>
      </c>
      <c r="AR29" s="2" t="inlineStr">
        <is>
          <t>Passes Gates 1-6 preliminarily; Gate 7 archive review pending</t>
        </is>
      </c>
      <c r="AS29" s="2" t="inlineStr">
        <is>
          <t>REVIEW — archive reconstruction</t>
        </is>
      </c>
      <c r="AT29" s="2" t="inlineStr">
        <is>
          <t>Moderate — official extract metadata; direct archive review pending</t>
        </is>
      </c>
      <c r="AU29" s="2" t="inlineStr">
        <is>
          <t>Selection role: Target-lane candidate. Solicitation family contains 2 notice version(s): 4bab113246e942568d174cfa7cdcec01; a437801f8f3b4b40af49b9301fd6bc3f. Representative notice chosen by detail score, not outcome. Historical award mapping did not control selection.</t>
        </is>
      </c>
      <c r="AV29" s="2" t="inlineStr">
        <is>
          <t>69995</t>
        </is>
      </c>
    </row>
    <row r="30">
      <c r="A30" s="2" t="inlineStr">
        <is>
          <t>HOS01-029</t>
        </is>
      </c>
      <c r="B30" s="2" t="inlineStr">
        <is>
          <t>777073eb879e47959c12f03b3c487ed3</t>
        </is>
      </c>
      <c r="C30" s="2" t="inlineStr">
        <is>
          <t>SPE2D220R0067</t>
        </is>
      </c>
      <c r="D30" s="2" t="inlineStr">
        <is>
          <t>https://sam.gov/workspace/contract/opp/777073eb879e47959c12f03b3c487ed3/view</t>
        </is>
      </c>
      <c r="E30" s="2" t="inlineStr">
        <is>
          <t>Solicitation</t>
        </is>
      </c>
      <c r="F30" s="2" t="inlineStr">
        <is>
          <t>2023-06-15</t>
        </is>
      </c>
      <c r="G30" s="2" t="inlineStr">
        <is>
          <t>2020-08-27</t>
        </is>
      </c>
      <c r="H30" s="2" t="inlineStr">
        <is>
          <t>DEPT OF DEFENSE</t>
        </is>
      </c>
      <c r="I30" s="2" t="inlineStr">
        <is>
          <t>DEFENSE LOGISTICS AGENCY</t>
        </is>
      </c>
      <c r="J30" s="2" t="inlineStr">
        <is>
          <t>DLA TROOP SUPPORT</t>
        </is>
      </c>
      <c r="K30" s="2" t="inlineStr">
        <is>
          <t>Sertraline HCL Tablets</t>
        </is>
      </c>
      <c r="L30" s="2" t="inlineStr">
        <is>
          <t>Modification P00002 to invoke Option Year 1 effective June 28, 2022 through June 27, 2023. Amendment 0004 SPE2D220R0067 is issued to change the solicitation date to reflect August 27, 2020 at 3:00 PM EDT. Amendment 0003 SPE2D220R0067 is issued to incorporate updated and addeded clauses and provision into the solicitation. Amendment 0002 SPE2D220R0067 is issued to extend the closing date until August 13, 2020 at 3:00 PM EDT. Amendment 0001 SPE2D220R0067 is issued to incorporate the following tax provision and clause into the solicitation: FAR 52.229-11 Tax on Certain Foreign Procurements�Notice and Representation. FAR 52.229-12 Tax on Certain Foreign Procurements. Solicitation for Sertraline HCL Tablets SPE2D2-20-R-0067</t>
        </is>
      </c>
      <c r="M30" s="2" t="inlineStr">
        <is>
          <t>325412</t>
        </is>
      </c>
      <c r="N30" s="2" t="inlineStr">
        <is>
          <t>6505</t>
        </is>
      </c>
      <c r="O30" s="2" t="inlineStr"/>
      <c r="P30" s="2" t="inlineStr">
        <is>
          <t>Unknown pre-award; historical award retained only as answer key when mapped</t>
        </is>
      </c>
      <c r="Q30" s="2" t="inlineStr">
        <is>
          <t>Product / commercial supply candidate</t>
        </is>
      </c>
      <c r="R30" s="2" t="inlineStr">
        <is>
          <t>Basic IT accessories and standard equipment</t>
        </is>
      </c>
      <c r="S30" s="2" t="inlineStr"/>
      <c r="T30" s="2" t="inlineStr">
        <is>
          <t>Archive review required</t>
        </is>
      </c>
      <c r="U30" s="2" t="inlineStr">
        <is>
          <t>Direct notice/resource lookup required</t>
        </is>
      </c>
      <c r="V30" s="2" t="inlineStr">
        <is>
          <t>Yes — 2 notice version(s)</t>
        </is>
      </c>
      <c r="W30" s="2" t="inlineStr">
        <is>
          <t>Unknown — archive retrieval required</t>
        </is>
      </c>
      <c r="X30" s="2" t="inlineStr">
        <is>
          <t>Not yet recovered</t>
        </is>
      </c>
      <c r="Y30" s="2" t="inlineStr"/>
      <c r="Z30" s="2" t="inlineStr"/>
      <c r="AA30" s="2" t="inlineStr"/>
      <c r="AB30" s="2" t="inlineStr"/>
      <c r="AC30" s="2" t="inlineStr">
        <is>
          <t>No parent vehicle indicated at solicitation intake; verify clauses</t>
        </is>
      </c>
      <c r="AD30" s="2" t="inlineStr">
        <is>
          <t>Potentially yes — direct solicitation or combined notice</t>
        </is>
      </c>
      <c r="AE30" s="2" t="inlineStr">
        <is>
          <t>No evidence in metadata; verify solicitation</t>
        </is>
      </c>
      <c r="AF30" s="2" t="inlineStr">
        <is>
          <t>Potentially yes — subject to historical SAM registration and representations</t>
        </is>
      </c>
      <c r="AG30" s="2" t="inlineStr">
        <is>
          <t>No conflict detected in metadata; exact product review required</t>
        </is>
      </c>
      <c r="AH30" s="2" t="inlineStr">
        <is>
          <t>Exact product/NSN review required</t>
        </is>
      </c>
      <c r="AI30" s="2" t="inlineStr">
        <is>
          <t>Pass / no automatic exclusion detected</t>
        </is>
      </c>
      <c r="AJ30" s="2" t="inlineStr">
        <is>
          <t>Partial metadata; archive retrieval required</t>
        </is>
      </c>
      <c r="AK30" s="2" t="inlineStr">
        <is>
          <t>Unknown — never infer from award amount</t>
        </is>
      </c>
      <c r="AL30" s="2" t="inlineStr">
        <is>
          <t>Not modeled before archive and supplier-pricing gates</t>
        </is>
      </c>
      <c r="AM30" s="2" t="inlineStr">
        <is>
          <t>Unclassified pending requirements and sourcing</t>
        </is>
      </c>
      <c r="AN30" s="2" t="inlineStr">
        <is>
          <t>Not modeled before supplier pricing</t>
        </is>
      </c>
      <c r="AO30" s="2" t="inlineStr">
        <is>
          <t>90</t>
        </is>
      </c>
      <c r="AP30" s="2" t="inlineStr">
        <is>
          <t>67</t>
        </is>
      </c>
      <c r="AQ30" s="2" t="inlineStr">
        <is>
          <t>Triple</t>
        </is>
      </c>
      <c r="AR30" s="2" t="inlineStr">
        <is>
          <t>Passes Gates 1-6 preliminarily; Gate 7 archive review pending</t>
        </is>
      </c>
      <c r="AS30" s="2" t="inlineStr">
        <is>
          <t>REVIEW — archive reconstruction</t>
        </is>
      </c>
      <c r="AT30" s="2" t="inlineStr">
        <is>
          <t>Moderate — official extract metadata; direct archive review pending</t>
        </is>
      </c>
      <c r="AU30" s="2" t="inlineStr">
        <is>
          <t>Selection role: Target-lane candidate. Solicitation family contains 2 notice version(s): 10ffe07b10f8461a8a685d0afc2e630e; 777073eb879e47959c12f03b3c487ed3. Representative notice chosen by detail score, not outcome. Historical award mapping did not control selection.</t>
        </is>
      </c>
      <c r="AV30" s="2" t="inlineStr">
        <is>
          <t>68643</t>
        </is>
      </c>
    </row>
    <row r="31">
      <c r="A31" s="2" t="inlineStr">
        <is>
          <t>HOS01-030</t>
        </is>
      </c>
      <c r="B31" s="2" t="inlineStr">
        <is>
          <t>983dc145b41f46b3810acc6497292449</t>
        </is>
      </c>
      <c r="C31" s="2" t="inlineStr">
        <is>
          <t>SPE2D220R0073</t>
        </is>
      </c>
      <c r="D31" s="2" t="inlineStr">
        <is>
          <t>https://sam.gov/workspace/contract/opp/983dc145b41f46b3810acc6497292449/view</t>
        </is>
      </c>
      <c r="E31" s="2" t="inlineStr">
        <is>
          <t>Solicitation</t>
        </is>
      </c>
      <c r="F31" s="2" t="inlineStr">
        <is>
          <t>2023-03-07</t>
        </is>
      </c>
      <c r="G31" s="2" t="inlineStr">
        <is>
          <t>2020-10-23</t>
        </is>
      </c>
      <c r="H31" s="2" t="inlineStr">
        <is>
          <t>DEPT OF DEFENSE</t>
        </is>
      </c>
      <c r="I31" s="2" t="inlineStr">
        <is>
          <t>DEFENSE LOGISTICS AGENCY</t>
        </is>
      </c>
      <c r="J31" s="2" t="inlineStr">
        <is>
          <t>DLA TROOP SUPPORT</t>
        </is>
      </c>
      <c r="K31" s="2" t="inlineStr">
        <is>
          <t>Fenofibrate Nanocrystalize</t>
        </is>
      </c>
      <c r="L31" s="2" t="inlineStr">
        <is>
          <t>Modification P00004 SPE2D2-21-D-0131 No Cost-Settlement Termination for Convenience. Modification P00003 SPE2D2-21-D-0131 to incorporate FAR Claluse 52.204-27 Prohibition on a Bytedance Covered Application (JUN 2023) into contract. Option Year 2 P00002 SPE2D2-21-D-0131 to invoke option period of April 05, 2023 through April 04, 2024. Option Year 1 P00001 SPE2D2-21-D-0131 to invoke option period of April 05, 2022 through April 04, 2023. Amendment 0001 is issued to extend the closing date until October 23, 2020 at 3:00 PM EDT. Solicitation for Fenofibrate Nanocrystalize Tablets SPE2D2-20-R-0073.</t>
        </is>
      </c>
      <c r="M31" s="2" t="inlineStr">
        <is>
          <t>325412</t>
        </is>
      </c>
      <c r="N31" s="2" t="inlineStr">
        <is>
          <t>6505</t>
        </is>
      </c>
      <c r="O31" s="2" t="inlineStr"/>
      <c r="P31" s="2" t="inlineStr">
        <is>
          <t>Unknown pre-award; historical award retained only as answer key when mapped</t>
        </is>
      </c>
      <c r="Q31" s="2" t="inlineStr">
        <is>
          <t>Product / commercial supply candidate</t>
        </is>
      </c>
      <c r="R31" s="2" t="inlineStr">
        <is>
          <t>Basic IT accessories and standard equipment</t>
        </is>
      </c>
      <c r="S31" s="2" t="inlineStr"/>
      <c r="T31" s="2" t="inlineStr">
        <is>
          <t>Archive review required</t>
        </is>
      </c>
      <c r="U31" s="2" t="inlineStr">
        <is>
          <t>Direct notice/resource lookup required</t>
        </is>
      </c>
      <c r="V31" s="2" t="inlineStr">
        <is>
          <t>Yes — 2 notice version(s)</t>
        </is>
      </c>
      <c r="W31" s="2" t="inlineStr">
        <is>
          <t>Unknown — archive retrieval required</t>
        </is>
      </c>
      <c r="X31" s="2" t="inlineStr">
        <is>
          <t>Not yet recovered</t>
        </is>
      </c>
      <c r="Y31" s="2" t="inlineStr"/>
      <c r="Z31" s="2" t="inlineStr"/>
      <c r="AA31" s="2" t="inlineStr"/>
      <c r="AB31" s="2" t="inlineStr"/>
      <c r="AC31" s="2" t="inlineStr">
        <is>
          <t>No parent vehicle indicated at solicitation intake; verify clauses</t>
        </is>
      </c>
      <c r="AD31" s="2" t="inlineStr">
        <is>
          <t>Potentially yes — direct solicitation or combined notice</t>
        </is>
      </c>
      <c r="AE31" s="2" t="inlineStr">
        <is>
          <t>No evidence in metadata; verify solicitation</t>
        </is>
      </c>
      <c r="AF31" s="2" t="inlineStr">
        <is>
          <t>Potentially yes — subject to historical SAM registration and representations</t>
        </is>
      </c>
      <c r="AG31" s="2" t="inlineStr">
        <is>
          <t>No conflict detected in metadata; exact product review required</t>
        </is>
      </c>
      <c r="AH31" s="2" t="inlineStr">
        <is>
          <t>Exact product/NSN review required</t>
        </is>
      </c>
      <c r="AI31" s="2" t="inlineStr">
        <is>
          <t>Pass / no automatic exclusion detected</t>
        </is>
      </c>
      <c r="AJ31" s="2" t="inlineStr">
        <is>
          <t>Partial metadata; archive retrieval required</t>
        </is>
      </c>
      <c r="AK31" s="2" t="inlineStr">
        <is>
          <t>Unknown — never infer from award amount</t>
        </is>
      </c>
      <c r="AL31" s="2" t="inlineStr">
        <is>
          <t>Not modeled before archive and supplier-pricing gates</t>
        </is>
      </c>
      <c r="AM31" s="2" t="inlineStr">
        <is>
          <t>Unclassified pending requirements and sourcing</t>
        </is>
      </c>
      <c r="AN31" s="2" t="inlineStr">
        <is>
          <t>Not modeled before supplier pricing</t>
        </is>
      </c>
      <c r="AO31" s="2" t="inlineStr">
        <is>
          <t>90</t>
        </is>
      </c>
      <c r="AP31" s="2" t="inlineStr">
        <is>
          <t>67</t>
        </is>
      </c>
      <c r="AQ31" s="2" t="inlineStr">
        <is>
          <t>Triple</t>
        </is>
      </c>
      <c r="AR31" s="2" t="inlineStr">
        <is>
          <t>Passes Gates 1-6 preliminarily; Gate 7 archive review pending</t>
        </is>
      </c>
      <c r="AS31" s="2" t="inlineStr">
        <is>
          <t>REVIEW — archive reconstruction</t>
        </is>
      </c>
      <c r="AT31" s="2" t="inlineStr">
        <is>
          <t>Moderate — official extract metadata; direct archive review pending</t>
        </is>
      </c>
      <c r="AU31" s="2" t="inlineStr">
        <is>
          <t>Selection role: Target-lane candidate. Solicitation family contains 2 notice version(s): de562a9092ed446fb53658f1e6455f24; 983dc145b41f46b3810acc6497292449. Representative notice chosen by detail score, not outcome. Historical award mapping did not control selection.</t>
        </is>
      </c>
      <c r="AV31" s="2" t="inlineStr">
        <is>
          <t>67568</t>
        </is>
      </c>
    </row>
    <row r="32">
      <c r="A32" s="2" t="inlineStr">
        <is>
          <t>HOS01-031</t>
        </is>
      </c>
      <c r="B32" s="2" t="inlineStr">
        <is>
          <t>4ad7b5d641e34a73b7a3b06ff094aacc</t>
        </is>
      </c>
      <c r="C32" s="2" t="inlineStr">
        <is>
          <t>SPE2D2-20-R-0065</t>
        </is>
      </c>
      <c r="D32" s="2" t="inlineStr">
        <is>
          <t>https://sam.gov/workspace/contract/opp/4ad7b5d641e34a73b7a3b06ff094aacc/view</t>
        </is>
      </c>
      <c r="E32" s="2" t="inlineStr">
        <is>
          <t>Solicitation</t>
        </is>
      </c>
      <c r="F32" s="2" t="inlineStr">
        <is>
          <t>2023-08-03</t>
        </is>
      </c>
      <c r="G32" s="2" t="inlineStr">
        <is>
          <t>2020-05-28</t>
        </is>
      </c>
      <c r="H32" s="2" t="inlineStr">
        <is>
          <t>DEPT OF DEFENSE</t>
        </is>
      </c>
      <c r="I32" s="2" t="inlineStr">
        <is>
          <t>DEFENSE LOGISTICS AGENCY</t>
        </is>
      </c>
      <c r="J32" s="2" t="inlineStr">
        <is>
          <t>DLA TROOP SUPPORT</t>
        </is>
      </c>
      <c r="K32" s="2" t="inlineStr">
        <is>
          <t>Anastrozole 1 MG</t>
        </is>
      </c>
      <c r="L32" s="2" t="inlineStr">
        <is>
          <t>Modification P00008 SPE2D220D0101 issued to invoke option year 4 for Anastrozole National Contract. Modification P00007 SPE2D220D0101 is issued to incorporate FAR 52.204-30 Federal Acquisition Supply Chain Security Act Orders into subject solicitation. Anastrozole 1 MG Tablets solicitation SPE2D2-20-R-0065</t>
        </is>
      </c>
      <c r="M32" s="2" t="inlineStr">
        <is>
          <t>325412</t>
        </is>
      </c>
      <c r="N32" s="2" t="inlineStr">
        <is>
          <t>6505</t>
        </is>
      </c>
      <c r="O32" s="2" t="inlineStr"/>
      <c r="P32" s="2" t="inlineStr">
        <is>
          <t>Unknown pre-award; historical award retained only as answer key when mapped</t>
        </is>
      </c>
      <c r="Q32" s="2" t="inlineStr">
        <is>
          <t>Product / commercial supply candidate</t>
        </is>
      </c>
      <c r="R32" s="2" t="inlineStr">
        <is>
          <t>Basic IT accessories and standard equipment</t>
        </is>
      </c>
      <c r="S32" s="2" t="inlineStr"/>
      <c r="T32" s="2" t="inlineStr">
        <is>
          <t>Archive review required</t>
        </is>
      </c>
      <c r="U32" s="2" t="inlineStr">
        <is>
          <t>Direct notice/resource lookup required</t>
        </is>
      </c>
      <c r="V32" s="2" t="inlineStr">
        <is>
          <t>Yes — 3 notice version(s)</t>
        </is>
      </c>
      <c r="W32" s="2" t="inlineStr">
        <is>
          <t>Unknown — archive retrieval required</t>
        </is>
      </c>
      <c r="X32" s="2" t="inlineStr">
        <is>
          <t>Not yet recovered</t>
        </is>
      </c>
      <c r="Y32" s="2" t="inlineStr"/>
      <c r="Z32" s="2" t="inlineStr"/>
      <c r="AA32" s="2" t="inlineStr"/>
      <c r="AB32" s="2" t="inlineStr"/>
      <c r="AC32" s="2" t="inlineStr">
        <is>
          <t>No parent vehicle indicated at solicitation intake; verify clauses</t>
        </is>
      </c>
      <c r="AD32" s="2" t="inlineStr">
        <is>
          <t>Potentially yes — direct solicitation or combined notice</t>
        </is>
      </c>
      <c r="AE32" s="2" t="inlineStr">
        <is>
          <t>No evidence in metadata; verify solicitation</t>
        </is>
      </c>
      <c r="AF32" s="2" t="inlineStr">
        <is>
          <t>Potentially yes — subject to historical SAM registration and representations</t>
        </is>
      </c>
      <c r="AG32" s="2" t="inlineStr">
        <is>
          <t>No conflict detected in metadata; exact product review required</t>
        </is>
      </c>
      <c r="AH32" s="2" t="inlineStr">
        <is>
          <t>Exact product/NSN review required</t>
        </is>
      </c>
      <c r="AI32" s="2" t="inlineStr">
        <is>
          <t>Pass / no automatic exclusion detected</t>
        </is>
      </c>
      <c r="AJ32" s="2" t="inlineStr">
        <is>
          <t>Partial metadata; archive retrieval required</t>
        </is>
      </c>
      <c r="AK32" s="2" t="inlineStr">
        <is>
          <t>Unknown — never infer from award amount</t>
        </is>
      </c>
      <c r="AL32" s="2" t="inlineStr">
        <is>
          <t>Not modeled before archive and supplier-pricing gates</t>
        </is>
      </c>
      <c r="AM32" s="2" t="inlineStr">
        <is>
          <t>Unclassified pending requirements and sourcing</t>
        </is>
      </c>
      <c r="AN32" s="2" t="inlineStr">
        <is>
          <t>Not modeled before supplier pricing</t>
        </is>
      </c>
      <c r="AO32" s="2" t="inlineStr">
        <is>
          <t>90</t>
        </is>
      </c>
      <c r="AP32" s="2" t="inlineStr">
        <is>
          <t>67</t>
        </is>
      </c>
      <c r="AQ32" s="2" t="inlineStr">
        <is>
          <t>Triple</t>
        </is>
      </c>
      <c r="AR32" s="2" t="inlineStr">
        <is>
          <t>Passes Gates 1-6 preliminarily; Gate 7 archive review pending</t>
        </is>
      </c>
      <c r="AS32" s="2" t="inlineStr">
        <is>
          <t>REVIEW — archive reconstruction</t>
        </is>
      </c>
      <c r="AT32" s="2" t="inlineStr">
        <is>
          <t>Moderate — official extract metadata; direct archive review pending</t>
        </is>
      </c>
      <c r="AU32" s="2" t="inlineStr">
        <is>
          <t>Selection role: Target-lane candidate. Solicitation family contains 3 notice version(s): 70ff1723d93f4de0bfd2936818e1f875; 28abb5b98c364c8dbfb74a5e65dc2a82; 4ad7b5d641e34a73b7a3b06ff094aacc. Representative notice chosen by detail score, not outcome. Historical award mapping did not control selection.</t>
        </is>
      </c>
      <c r="AV32" s="2" t="inlineStr">
        <is>
          <t>65710</t>
        </is>
      </c>
    </row>
    <row r="33">
      <c r="A33" s="2" t="inlineStr">
        <is>
          <t>HOS01-032</t>
        </is>
      </c>
      <c r="B33" s="2" t="inlineStr">
        <is>
          <t>a3bc77ca4f284ba49e956d6444dd55df</t>
        </is>
      </c>
      <c r="C33" s="2" t="inlineStr">
        <is>
          <t>QSE--36C78623Q50112</t>
        </is>
      </c>
      <c r="D33" s="2" t="inlineStr">
        <is>
          <t>https://sam.gov/workspace/contract/opp/a3bc77ca4f284ba49e956d6444dd55df/view</t>
        </is>
      </c>
      <c r="E33" s="2" t="inlineStr">
        <is>
          <t>Combined Synopsis/Solicitation</t>
        </is>
      </c>
      <c r="F33" s="2" t="inlineStr">
        <is>
          <t>2023-03-08</t>
        </is>
      </c>
      <c r="G33" s="2" t="inlineStr">
        <is>
          <t>2023-03-17</t>
        </is>
      </c>
      <c r="H33" s="2" t="inlineStr">
        <is>
          <t>VETERANS AFFAIRS, DEPARTMENT OF</t>
        </is>
      </c>
      <c r="I33" s="2" t="inlineStr">
        <is>
          <t>VETERANS AFFAIRS, DEPARTMENT OF</t>
        </is>
      </c>
      <c r="J33" s="2" t="inlineStr">
        <is>
          <t>NATIONAL CEMETERY ADMIN (36C786)</t>
        </is>
      </c>
      <c r="K33" s="2" t="inlineStr">
        <is>
          <t>The Saratoga National Cemetery is in need of Fire and Security Services for a new Base and Four Option Years contract. -- 6350</t>
        </is>
      </c>
      <c r="L33" s="2" t="inlineStr">
        <is>
          <t>The Saratoga National Cemetery is in need of Fire and Security Services for a new Base and Four Option Years contract. -- 6350 Fire &amp; Security Alarm System Monitoring Base Contract FY23 Saratoga is in need of Fire and Security Alarm Services for a new Base and Option Years period.</t>
        </is>
      </c>
      <c r="M33" s="2" t="inlineStr">
        <is>
          <t>561621</t>
        </is>
      </c>
      <c r="N33" s="2" t="inlineStr">
        <is>
          <t>6350</t>
        </is>
      </c>
      <c r="O33" s="2" t="inlineStr">
        <is>
          <t>Total Small Business Set-Aside (FAR 19.5)</t>
        </is>
      </c>
      <c r="P33" s="2" t="inlineStr">
        <is>
          <t>Unknown pre-award; historical award retained only as answer key when mapped</t>
        </is>
      </c>
      <c r="Q33" s="2" t="inlineStr">
        <is>
          <t>Product / commercial supply candidate</t>
        </is>
      </c>
      <c r="R33" s="2" t="inlineStr">
        <is>
          <t>Basic IT accessories and standard equipment</t>
        </is>
      </c>
      <c r="S33" s="2" t="inlineStr">
        <is>
          <t>Schuylerville, NY, 12871, USA</t>
        </is>
      </c>
      <c r="T33" s="2" t="inlineStr">
        <is>
          <t>Schuylerville, NY, 12871, USA</t>
        </is>
      </c>
      <c r="U33" s="2" t="inlineStr">
        <is>
          <t>Direct notice/resource lookup required</t>
        </is>
      </c>
      <c r="V33" s="2" t="inlineStr">
        <is>
          <t>Yes — 2 notice version(s)</t>
        </is>
      </c>
      <c r="W33" s="2" t="inlineStr">
        <is>
          <t>Unknown — archive retrieval required</t>
        </is>
      </c>
      <c r="X33" s="2" t="inlineStr">
        <is>
          <t>Not yet recovered</t>
        </is>
      </c>
      <c r="Y33" s="2" t="inlineStr"/>
      <c r="Z33" s="2" t="inlineStr"/>
      <c r="AA33" s="2" t="inlineStr"/>
      <c r="AB33" s="2" t="inlineStr"/>
      <c r="AC33" s="2" t="inlineStr">
        <is>
          <t>No parent vehicle indicated at solicitation intake; verify clauses</t>
        </is>
      </c>
      <c r="AD33" s="2" t="inlineStr">
        <is>
          <t>Potentially yes — direct solicitation or combined notice</t>
        </is>
      </c>
      <c r="AE33" s="2" t="inlineStr">
        <is>
          <t>No evidence in metadata; verify solicitation</t>
        </is>
      </c>
      <c r="AF33" s="2" t="inlineStr">
        <is>
          <t>Potentially yes — subject to historical SAM registration and representations</t>
        </is>
      </c>
      <c r="AG33" s="2" t="inlineStr">
        <is>
          <t>No conflict detected in metadata; exact product review required</t>
        </is>
      </c>
      <c r="AH33" s="2" t="inlineStr">
        <is>
          <t>Exact product/NSN review required</t>
        </is>
      </c>
      <c r="AI33" s="2" t="inlineStr">
        <is>
          <t>Pass / no automatic exclusion detected</t>
        </is>
      </c>
      <c r="AJ33" s="2" t="inlineStr">
        <is>
          <t>Partial metadata; archive retrieval required</t>
        </is>
      </c>
      <c r="AK33" s="2" t="inlineStr">
        <is>
          <t>Unknown — never infer from award amount</t>
        </is>
      </c>
      <c r="AL33" s="2" t="inlineStr">
        <is>
          <t>Not modeled before archive and supplier-pricing gates</t>
        </is>
      </c>
      <c r="AM33" s="2" t="inlineStr">
        <is>
          <t>Unclassified pending requirements and sourcing</t>
        </is>
      </c>
      <c r="AN33" s="2" t="inlineStr">
        <is>
          <t>Not modeled before supplier pricing</t>
        </is>
      </c>
      <c r="AO33" s="2" t="inlineStr">
        <is>
          <t>90</t>
        </is>
      </c>
      <c r="AP33" s="2" t="inlineStr">
        <is>
          <t>67</t>
        </is>
      </c>
      <c r="AQ33" s="2" t="inlineStr">
        <is>
          <t>Triple</t>
        </is>
      </c>
      <c r="AR33" s="2" t="inlineStr">
        <is>
          <t>Passes Gates 1-6 preliminarily; Gate 7 archive review pending</t>
        </is>
      </c>
      <c r="AS33" s="2" t="inlineStr">
        <is>
          <t>REVIEW — archive reconstruction</t>
        </is>
      </c>
      <c r="AT33" s="2" t="inlineStr">
        <is>
          <t>Moderate — official extract metadata; direct archive review pending</t>
        </is>
      </c>
      <c r="AU33" s="2" t="inlineStr">
        <is>
          <t>Selection role: Target-lane candidate. Solicitation family contains 2 notice version(s): a3bc77ca4f284ba49e956d6444dd55df; e4a4c5330ec940f39ded44f7ff8f51a9. Representative notice chosen by detail score, not outcome. Historical award mapping did not control selection.</t>
        </is>
      </c>
      <c r="AV33" s="2" t="inlineStr">
        <is>
          <t>69663</t>
        </is>
      </c>
    </row>
    <row r="34">
      <c r="A34" s="2" t="inlineStr">
        <is>
          <t>HOS01-033</t>
        </is>
      </c>
      <c r="B34" s="2" t="inlineStr">
        <is>
          <t>234a92854ea94db6a77d1a19d29216e8</t>
        </is>
      </c>
      <c r="C34" s="2" t="inlineStr">
        <is>
          <t>140P5225Q0001</t>
        </is>
      </c>
      <c r="D34" s="2" t="inlineStr">
        <is>
          <t>https://sam.gov/workspace/contract/opp/234a92854ea94db6a77d1a19d29216e8/view</t>
        </is>
      </c>
      <c r="E34" s="2" t="inlineStr">
        <is>
          <t>Combined Synopsis/Solicitation</t>
        </is>
      </c>
      <c r="F34" s="2" t="inlineStr">
        <is>
          <t>2024-12-09</t>
        </is>
      </c>
      <c r="G34" s="2" t="inlineStr">
        <is>
          <t>2024-12-26</t>
        </is>
      </c>
      <c r="H34" s="2" t="inlineStr">
        <is>
          <t>INTERIOR, DEPARTMENT OF THE</t>
        </is>
      </c>
      <c r="I34" s="2" t="inlineStr">
        <is>
          <t>NATIONAL PARK SERVICE</t>
        </is>
      </c>
      <c r="J34" s="2" t="inlineStr">
        <is>
          <t>SER WEST(52000)</t>
        </is>
      </c>
      <c r="K34" s="2" t="inlineStr">
        <is>
          <t>AERIAL TELEMETRY</t>
        </is>
      </c>
      <c r="L34" s="2" t="inlineStr">
        <is>
          <t>Requirement for the procurement of Radio Telemetry services to locate Burmese pythons. These services are needed in order to monitor movements of Burmese pythons and other wildlife. This requirement will be for a requested period of performance end date of December 31, 2025, with a base year and an additional four (4) option years.</t>
        </is>
      </c>
      <c r="M34" s="2" t="inlineStr">
        <is>
          <t>488190</t>
        </is>
      </c>
      <c r="N34" s="2" t="inlineStr">
        <is>
          <t>F019</t>
        </is>
      </c>
      <c r="O34" s="2" t="inlineStr">
        <is>
          <t>Total Small Business Set-Aside (FAR 19.5)</t>
        </is>
      </c>
      <c r="P34" s="2" t="inlineStr">
        <is>
          <t>Unknown pre-award; historical award retained only as answer key when mapped</t>
        </is>
      </c>
      <c r="Q34" s="2" t="inlineStr">
        <is>
          <t>Product / commercial supply candidate</t>
        </is>
      </c>
      <c r="R34" s="2" t="inlineStr">
        <is>
          <t>Basic IT accessories and standard equipment</t>
        </is>
      </c>
      <c r="S34" s="2" t="inlineStr"/>
      <c r="T34" s="2" t="inlineStr">
        <is>
          <t>Archive review required</t>
        </is>
      </c>
      <c r="U34" s="2" t="inlineStr">
        <is>
          <t>Direct notice/resource lookup required</t>
        </is>
      </c>
      <c r="V34" s="2" t="inlineStr">
        <is>
          <t>No separate version identified in extract</t>
        </is>
      </c>
      <c r="W34" s="2" t="inlineStr">
        <is>
          <t>Unknown — archive retrieval required</t>
        </is>
      </c>
      <c r="X34" s="2" t="inlineStr">
        <is>
          <t>Not yet recovered</t>
        </is>
      </c>
      <c r="Y34" s="2" t="inlineStr"/>
      <c r="Z34" s="2" t="inlineStr"/>
      <c r="AA34" s="2" t="inlineStr"/>
      <c r="AB34" s="2" t="inlineStr"/>
      <c r="AC34" s="2" t="inlineStr">
        <is>
          <t>No parent vehicle indicated at solicitation intake; verify clauses</t>
        </is>
      </c>
      <c r="AD34" s="2" t="inlineStr">
        <is>
          <t>Potentially yes — direct solicitation or combined notice</t>
        </is>
      </c>
      <c r="AE34" s="2" t="inlineStr">
        <is>
          <t>No evidence in metadata; verify solicitation</t>
        </is>
      </c>
      <c r="AF34" s="2" t="inlineStr">
        <is>
          <t>Potentially yes — subject to historical SAM registration and representations</t>
        </is>
      </c>
      <c r="AG34" s="2" t="inlineStr">
        <is>
          <t>No conflict detected in metadata; exact product review required</t>
        </is>
      </c>
      <c r="AH34" s="2" t="inlineStr">
        <is>
          <t>Exact product/NSN review required</t>
        </is>
      </c>
      <c r="AI34" s="2" t="inlineStr">
        <is>
          <t>Pass / no automatic exclusion detected</t>
        </is>
      </c>
      <c r="AJ34" s="2" t="inlineStr">
        <is>
          <t>Partial metadata; archive retrieval required</t>
        </is>
      </c>
      <c r="AK34" s="2" t="inlineStr">
        <is>
          <t>Unknown — never infer from award amount</t>
        </is>
      </c>
      <c r="AL34" s="2" t="inlineStr">
        <is>
          <t>Not modeled before archive and supplier-pricing gates</t>
        </is>
      </c>
      <c r="AM34" s="2" t="inlineStr">
        <is>
          <t>Unclassified pending requirements and sourcing</t>
        </is>
      </c>
      <c r="AN34" s="2" t="inlineStr">
        <is>
          <t>Not modeled before supplier pricing</t>
        </is>
      </c>
      <c r="AO34" s="2" t="inlineStr">
        <is>
          <t>90</t>
        </is>
      </c>
      <c r="AP34" s="2" t="inlineStr">
        <is>
          <t>67</t>
        </is>
      </c>
      <c r="AQ34" s="2" t="inlineStr">
        <is>
          <t>Triple</t>
        </is>
      </c>
      <c r="AR34" s="2" t="inlineStr">
        <is>
          <t>Passes Gates 1-6 preliminarily; Gate 7 archive review pending</t>
        </is>
      </c>
      <c r="AS34" s="2" t="inlineStr">
        <is>
          <t>REVIEW — archive reconstruction</t>
        </is>
      </c>
      <c r="AT34" s="2" t="inlineStr">
        <is>
          <t>Moderate — official extract metadata; direct archive review pending</t>
        </is>
      </c>
      <c r="AU34" s="2" t="inlineStr">
        <is>
          <t>Selection role: Target-lane candidate. Solicitation family contains 1 notice version(s): 234a92854ea94db6a77d1a19d29216e8. Representative notice chosen by detail score, not outcome. Historical award mapping did not control selection.</t>
        </is>
      </c>
      <c r="AV34" s="2" t="inlineStr">
        <is>
          <t>64629</t>
        </is>
      </c>
    </row>
    <row r="35">
      <c r="A35" s="2" t="inlineStr">
        <is>
          <t>HOS01-034</t>
        </is>
      </c>
      <c r="B35" s="2" t="inlineStr">
        <is>
          <t>5a51521f1de34510bc6134e584b78c71</t>
        </is>
      </c>
      <c r="C35" s="2" t="inlineStr">
        <is>
          <t>140R2024Q0123</t>
        </is>
      </c>
      <c r="D35" s="2" t="inlineStr">
        <is>
          <t>https://sam.gov/workspace/contract/opp/5a51521f1de34510bc6134e584b78c71/view</t>
        </is>
      </c>
      <c r="E35" s="2" t="inlineStr">
        <is>
          <t>Solicitation</t>
        </is>
      </c>
      <c r="F35" s="2" t="inlineStr">
        <is>
          <t>2024-09-05</t>
        </is>
      </c>
      <c r="G35" s="2" t="inlineStr">
        <is>
          <t>2024-09-12</t>
        </is>
      </c>
      <c r="H35" s="2" t="inlineStr">
        <is>
          <t>INTERIOR, DEPARTMENT OF THE</t>
        </is>
      </c>
      <c r="I35" s="2" t="inlineStr">
        <is>
          <t>BUREAU OF RECLAMATION</t>
        </is>
      </c>
      <c r="J35" s="2" t="inlineStr">
        <is>
          <t>MP-REGIONAL OFFICE</t>
        </is>
      </c>
      <c r="K35" s="2" t="inlineStr">
        <is>
          <t>Hydromet Data Loggers</t>
        </is>
      </c>
      <c r="L35" s="2" t="inlineStr">
        <is>
          <t>The Bureau of Reclamation intends to negotiate on a sole source basis with OTT Hydromet Corp to provide Hydromet Data Loggers for the Bureau of Reclamation. These Data Loggers support the California Great Basin (CGB) region and Central California Area Office (CCAO) for costs including under the authority of FAR Part 13.106-1(b)(1). A sole source justification has been prepared in support of this acquisition. Firms believing, they can provide this requirement must provide written notification to the Contracting Officer with supporting evidence to that effect and in sufficient detail to demonstrate the respondent's ability to meet the stated requirements. This notice is not a request for competitive proposals. All responses received within 7 calendar days of the date of publication of this notice will be considered by the Government. A determination by the Government not to compete this proposed action based on responses to this notice is solely within the discretion of the Government. Information received will be considered solely for the purpose of determining whether to conduct a competitive procurement. Responses should include the firm's Unique Entity Identifier (UEI) and Tax Identification Number (TIN). Firms should identify business size (i.e. small business, other than small business, etc.) in accordance with the size standard for NAICS Code 334511 which is $1,300 Employees. The estimated award date is August 28, 2024. Responses and questions concerning this solicitation should be directed to Sarah Anaya at sanaya@usbr.gov.</t>
        </is>
      </c>
      <c r="M35" s="2" t="inlineStr">
        <is>
          <t>334511</t>
        </is>
      </c>
      <c r="N35" s="2" t="inlineStr">
        <is>
          <t>7G22</t>
        </is>
      </c>
      <c r="O35" s="2" t="inlineStr"/>
      <c r="P35" s="2" t="inlineStr">
        <is>
          <t>Unknown pre-award; historical award retained only as answer key when mapped</t>
        </is>
      </c>
      <c r="Q35" s="2" t="inlineStr">
        <is>
          <t>Product / commercial supply candidate</t>
        </is>
      </c>
      <c r="R35" s="2" t="inlineStr">
        <is>
          <t>Basic IT accessories and standard equipment</t>
        </is>
      </c>
      <c r="S35" s="2" t="inlineStr">
        <is>
          <t>Folsom, CA, USA</t>
        </is>
      </c>
      <c r="T35" s="2" t="inlineStr">
        <is>
          <t>Folsom, CA, USA</t>
        </is>
      </c>
      <c r="U35" s="2" t="inlineStr">
        <is>
          <t>Direct notice/resource lookup required</t>
        </is>
      </c>
      <c r="V35" s="2" t="inlineStr">
        <is>
          <t>No separate version identified in extract</t>
        </is>
      </c>
      <c r="W35" s="2" t="inlineStr">
        <is>
          <t>Unknown — archive retrieval required</t>
        </is>
      </c>
      <c r="X35" s="2" t="inlineStr">
        <is>
          <t>Not yet recovered</t>
        </is>
      </c>
      <c r="Y35" s="2" t="inlineStr"/>
      <c r="Z35" s="2" t="inlineStr"/>
      <c r="AA35" s="2" t="inlineStr"/>
      <c r="AB35" s="2" t="inlineStr"/>
      <c r="AC35" s="2" t="inlineStr">
        <is>
          <t>No parent vehicle indicated at solicitation intake; verify clauses</t>
        </is>
      </c>
      <c r="AD35" s="2" t="inlineStr">
        <is>
          <t>Potentially yes — direct solicitation or combined notice</t>
        </is>
      </c>
      <c r="AE35" s="2" t="inlineStr">
        <is>
          <t>No evidence in metadata; verify solicitation</t>
        </is>
      </c>
      <c r="AF35" s="2" t="inlineStr">
        <is>
          <t>Potentially yes — subject to historical SAM registration and representations</t>
        </is>
      </c>
      <c r="AG35" s="2" t="inlineStr">
        <is>
          <t>No conflict detected in metadata; exact product review required</t>
        </is>
      </c>
      <c r="AH35" s="2" t="inlineStr">
        <is>
          <t>Exact product/NSN review required</t>
        </is>
      </c>
      <c r="AI35" s="2" t="inlineStr">
        <is>
          <t>Pass / no automatic exclusion detected</t>
        </is>
      </c>
      <c r="AJ35" s="2" t="inlineStr">
        <is>
          <t>Partial metadata; archive retrieval required</t>
        </is>
      </c>
      <c r="AK35" s="2" t="inlineStr">
        <is>
          <t>Unknown — never infer from award amount</t>
        </is>
      </c>
      <c r="AL35" s="2" t="inlineStr">
        <is>
          <t>Not modeled before archive and supplier-pricing gates</t>
        </is>
      </c>
      <c r="AM35" s="2" t="inlineStr">
        <is>
          <t>Unclassified pending requirements and sourcing</t>
        </is>
      </c>
      <c r="AN35" s="2" t="inlineStr">
        <is>
          <t>Not modeled before supplier pricing</t>
        </is>
      </c>
      <c r="AO35" s="2" t="inlineStr">
        <is>
          <t>90</t>
        </is>
      </c>
      <c r="AP35" s="2" t="inlineStr">
        <is>
          <t>67</t>
        </is>
      </c>
      <c r="AQ35" s="2" t="inlineStr">
        <is>
          <t>Triple</t>
        </is>
      </c>
      <c r="AR35" s="2" t="inlineStr">
        <is>
          <t>Passes Gates 1-6 preliminarily; Gate 7 archive review pending</t>
        </is>
      </c>
      <c r="AS35" s="2" t="inlineStr">
        <is>
          <t>REVIEW — archive reconstruction</t>
        </is>
      </c>
      <c r="AT35" s="2" t="inlineStr">
        <is>
          <t>Moderate — official extract metadata; direct archive review pending</t>
        </is>
      </c>
      <c r="AU35" s="2" t="inlineStr">
        <is>
          <t>Selection role: Target-lane candidate. Solicitation family contains 1 notice version(s): 5a51521f1de34510bc6134e584b78c71. Representative notice chosen by detail score, not outcome. Historical award mapping did not control selection.</t>
        </is>
      </c>
      <c r="AV35" s="2" t="inlineStr">
        <is>
          <t>65536</t>
        </is>
      </c>
    </row>
    <row r="36">
      <c r="A36" s="2" t="inlineStr">
        <is>
          <t>HOS01-035</t>
        </is>
      </c>
      <c r="B36" s="2" t="inlineStr">
        <is>
          <t>6371682a423243ba9b2e4d36abd360f6</t>
        </is>
      </c>
      <c r="C36" s="2" t="inlineStr">
        <is>
          <t>SPE2D223R0010</t>
        </is>
      </c>
      <c r="D36" s="2" t="inlineStr">
        <is>
          <t>https://sam.gov/workspace/contract/opp/6371682a423243ba9b2e4d36abd360f6/view</t>
        </is>
      </c>
      <c r="E36" s="2" t="inlineStr">
        <is>
          <t>Solicitation</t>
        </is>
      </c>
      <c r="F36" s="2" t="inlineStr">
        <is>
          <t>2023-03-22</t>
        </is>
      </c>
      <c r="G36" s="2" t="inlineStr">
        <is>
          <t>2023-05-19</t>
        </is>
      </c>
      <c r="H36" s="2" t="inlineStr">
        <is>
          <t>DEPT OF DEFENSE</t>
        </is>
      </c>
      <c r="I36" s="2" t="inlineStr">
        <is>
          <t>DEFENSE LOGISTICS AGENCY</t>
        </is>
      </c>
      <c r="J36" s="2" t="inlineStr">
        <is>
          <t>DLA TROOP SUPPORT</t>
        </is>
      </c>
      <c r="K36" s="2" t="inlineStr">
        <is>
          <t>Quetiapine Fumarate XR Tablets</t>
        </is>
      </c>
      <c r="L36" s="2" t="inlineStr">
        <is>
          <t>Quetiapine Fumarate XR - SPE2D2-23-R-0010 - Solicitation</t>
        </is>
      </c>
      <c r="M36" s="2" t="inlineStr">
        <is>
          <t>325412</t>
        </is>
      </c>
      <c r="N36" s="2" t="inlineStr">
        <is>
          <t>6505</t>
        </is>
      </c>
      <c r="O36" s="2" t="inlineStr"/>
      <c r="P36" s="2" t="inlineStr">
        <is>
          <t>Unknown pre-award; historical award retained only as answer key when mapped</t>
        </is>
      </c>
      <c r="Q36" s="2" t="inlineStr">
        <is>
          <t>Product / commercial supply candidate</t>
        </is>
      </c>
      <c r="R36" s="2" t="inlineStr">
        <is>
          <t>Basic IT accessories and standard equipment</t>
        </is>
      </c>
      <c r="S36" s="2" t="inlineStr"/>
      <c r="T36" s="2" t="inlineStr">
        <is>
          <t>Archive review required</t>
        </is>
      </c>
      <c r="U36" s="2" t="inlineStr">
        <is>
          <t>Direct notice/resource lookup required</t>
        </is>
      </c>
      <c r="V36" s="2" t="inlineStr">
        <is>
          <t>Yes — 4 notice version(s)</t>
        </is>
      </c>
      <c r="W36" s="2" t="inlineStr">
        <is>
          <t>Unknown — archive retrieval required</t>
        </is>
      </c>
      <c r="X36" s="2" t="inlineStr">
        <is>
          <t>Not yet recovered</t>
        </is>
      </c>
      <c r="Y36" s="2" t="inlineStr"/>
      <c r="Z36" s="2" t="inlineStr"/>
      <c r="AA36" s="2" t="inlineStr"/>
      <c r="AB36" s="2" t="inlineStr"/>
      <c r="AC36" s="2" t="inlineStr">
        <is>
          <t>No parent vehicle indicated at solicitation intake; verify clauses</t>
        </is>
      </c>
      <c r="AD36" s="2" t="inlineStr">
        <is>
          <t>Potentially yes — direct solicitation or combined notice</t>
        </is>
      </c>
      <c r="AE36" s="2" t="inlineStr">
        <is>
          <t>No evidence in metadata; verify solicitation</t>
        </is>
      </c>
      <c r="AF36" s="2" t="inlineStr">
        <is>
          <t>Potentially yes — subject to historical SAM registration and representations</t>
        </is>
      </c>
      <c r="AG36" s="2" t="inlineStr">
        <is>
          <t>No conflict detected in metadata; exact product review required</t>
        </is>
      </c>
      <c r="AH36" s="2" t="inlineStr">
        <is>
          <t>Exact product/NSN review required</t>
        </is>
      </c>
      <c r="AI36" s="2" t="inlineStr">
        <is>
          <t>Pass / no automatic exclusion detected</t>
        </is>
      </c>
      <c r="AJ36" s="2" t="inlineStr">
        <is>
          <t>Sparse metadata; high Gate 7 risk</t>
        </is>
      </c>
      <c r="AK36" s="2" t="inlineStr">
        <is>
          <t>Unknown — never infer from award amount</t>
        </is>
      </c>
      <c r="AL36" s="2" t="inlineStr">
        <is>
          <t>Not modeled before archive and supplier-pricing gates</t>
        </is>
      </c>
      <c r="AM36" s="2" t="inlineStr">
        <is>
          <t>Unclassified pending requirements and sourcing</t>
        </is>
      </c>
      <c r="AN36" s="2" t="inlineStr">
        <is>
          <t>Not modeled before supplier pricing</t>
        </is>
      </c>
      <c r="AO36" s="2" t="inlineStr">
        <is>
          <t>90</t>
        </is>
      </c>
      <c r="AP36" s="2" t="inlineStr">
        <is>
          <t>60</t>
        </is>
      </c>
      <c r="AQ36" s="2" t="inlineStr">
        <is>
          <t>Double</t>
        </is>
      </c>
      <c r="AR36" s="2" t="inlineStr">
        <is>
          <t>Passes Gates 1-6 preliminarily; Gate 7 archive review pending</t>
        </is>
      </c>
      <c r="AS36" s="2" t="inlineStr">
        <is>
          <t>REVIEW — archive reconstruction</t>
        </is>
      </c>
      <c r="AT36" s="2" t="inlineStr">
        <is>
          <t>Moderate — official extract metadata; direct archive review pending</t>
        </is>
      </c>
      <c r="AU36" s="2" t="inlineStr">
        <is>
          <t>Selection role: Target-lane candidate. Solicitation family contains 4 notice version(s): 6371682a423243ba9b2e4d36abd360f6; 3f41bdb48e404194a4978bd1be1cfa11; 77415df6ec9f4e949089aeee8e4e1dc6; 5638f6e61f4442d28dd36c7811458ddd. Representative notice chosen by detail score, not outcome. Historical award mapping did not control selection.</t>
        </is>
      </c>
      <c r="AV36" s="2" t="inlineStr">
        <is>
          <t>69506</t>
        </is>
      </c>
    </row>
    <row r="37">
      <c r="A37" s="2" t="inlineStr">
        <is>
          <t>HOS01-036</t>
        </is>
      </c>
      <c r="B37" s="2" t="inlineStr">
        <is>
          <t>efd0cc2376de4060b9ac84d1792512b3</t>
        </is>
      </c>
      <c r="C37" s="2" t="inlineStr">
        <is>
          <t>SPE2D2-22-R-0116</t>
        </is>
      </c>
      <c r="D37" s="2" t="inlineStr">
        <is>
          <t>https://sam.gov/workspace/contract/opp/efd0cc2376de4060b9ac84d1792512b3/view</t>
        </is>
      </c>
      <c r="E37" s="2" t="inlineStr">
        <is>
          <t>Solicitation</t>
        </is>
      </c>
      <c r="F37" s="2" t="inlineStr">
        <is>
          <t>2024-09-24</t>
        </is>
      </c>
      <c r="G37" s="2" t="inlineStr">
        <is>
          <t>2022-06-21</t>
        </is>
      </c>
      <c r="H37" s="2" t="inlineStr">
        <is>
          <t>DEPT OF DEFENSE</t>
        </is>
      </c>
      <c r="I37" s="2" t="inlineStr">
        <is>
          <t>DEFENSE LOGISTICS AGENCY</t>
        </is>
      </c>
      <c r="J37" s="2" t="inlineStr">
        <is>
          <t>DLA TROOP SUPPORT</t>
        </is>
      </c>
      <c r="K37" s="2" t="inlineStr">
        <is>
          <t>Estradiol Tablets</t>
        </is>
      </c>
      <c r="L37" s="2" t="inlineStr">
        <is>
          <t>NATIONAL CONTRACTS SOLICITATION SPE2D2-22-R-0116 ESTRADIOL TABLETS</t>
        </is>
      </c>
      <c r="M37" s="2" t="inlineStr">
        <is>
          <t>325412</t>
        </is>
      </c>
      <c r="N37" s="2" t="inlineStr">
        <is>
          <t>6505</t>
        </is>
      </c>
      <c r="O37" s="2" t="inlineStr"/>
      <c r="P37" s="2" t="inlineStr">
        <is>
          <t>Unknown pre-award; historical award retained only as answer key when mapped</t>
        </is>
      </c>
      <c r="Q37" s="2" t="inlineStr">
        <is>
          <t>Product / commercial supply candidate</t>
        </is>
      </c>
      <c r="R37" s="2" t="inlineStr">
        <is>
          <t>Basic IT accessories and standard equipment</t>
        </is>
      </c>
      <c r="S37" s="2" t="inlineStr"/>
      <c r="T37" s="2" t="inlineStr">
        <is>
          <t>Archive review required</t>
        </is>
      </c>
      <c r="U37" s="2" t="inlineStr">
        <is>
          <t>Direct notice/resource lookup required</t>
        </is>
      </c>
      <c r="V37" s="2" t="inlineStr">
        <is>
          <t>No separate version identified in extract</t>
        </is>
      </c>
      <c r="W37" s="2" t="inlineStr">
        <is>
          <t>Unknown — archive retrieval required</t>
        </is>
      </c>
      <c r="X37" s="2" t="inlineStr">
        <is>
          <t>Not yet recovered</t>
        </is>
      </c>
      <c r="Y37" s="2" t="inlineStr"/>
      <c r="Z37" s="2" t="inlineStr"/>
      <c r="AA37" s="2" t="inlineStr"/>
      <c r="AB37" s="2" t="inlineStr"/>
      <c r="AC37" s="2" t="inlineStr">
        <is>
          <t>No parent vehicle indicated at solicitation intake; verify clauses</t>
        </is>
      </c>
      <c r="AD37" s="2" t="inlineStr">
        <is>
          <t>Potentially yes — direct solicitation or combined notice</t>
        </is>
      </c>
      <c r="AE37" s="2" t="inlineStr">
        <is>
          <t>No evidence in metadata; verify solicitation</t>
        </is>
      </c>
      <c r="AF37" s="2" t="inlineStr">
        <is>
          <t>Potentially yes — subject to historical SAM registration and representations</t>
        </is>
      </c>
      <c r="AG37" s="2" t="inlineStr">
        <is>
          <t>No conflict detected in metadata; exact product review required</t>
        </is>
      </c>
      <c r="AH37" s="2" t="inlineStr">
        <is>
          <t>Exact product/NSN review required</t>
        </is>
      </c>
      <c r="AI37" s="2" t="inlineStr">
        <is>
          <t>Pass / no automatic exclusion detected</t>
        </is>
      </c>
      <c r="AJ37" s="2" t="inlineStr">
        <is>
          <t>Sparse metadata; high Gate 7 risk</t>
        </is>
      </c>
      <c r="AK37" s="2" t="inlineStr">
        <is>
          <t>Unknown — never infer from award amount</t>
        </is>
      </c>
      <c r="AL37" s="2" t="inlineStr">
        <is>
          <t>Not modeled before archive and supplier-pricing gates</t>
        </is>
      </c>
      <c r="AM37" s="2" t="inlineStr">
        <is>
          <t>Unclassified pending requirements and sourcing</t>
        </is>
      </c>
      <c r="AN37" s="2" t="inlineStr">
        <is>
          <t>Not modeled before supplier pricing</t>
        </is>
      </c>
      <c r="AO37" s="2" t="inlineStr">
        <is>
          <t>90</t>
        </is>
      </c>
      <c r="AP37" s="2" t="inlineStr">
        <is>
          <t>60</t>
        </is>
      </c>
      <c r="AQ37" s="2" t="inlineStr">
        <is>
          <t>Double</t>
        </is>
      </c>
      <c r="AR37" s="2" t="inlineStr">
        <is>
          <t>Passes Gates 1-6 preliminarily; Gate 7 archive review pending</t>
        </is>
      </c>
      <c r="AS37" s="2" t="inlineStr">
        <is>
          <t>REVIEW — archive reconstruction</t>
        </is>
      </c>
      <c r="AT37" s="2" t="inlineStr">
        <is>
          <t>Moderate — official extract metadata; direct archive review pending</t>
        </is>
      </c>
      <c r="AU37" s="2" t="inlineStr">
        <is>
          <t>Selection role: Target-lane candidate. Solicitation family contains 1 notice version(s): efd0cc2376de4060b9ac84d1792512b3. Representative notice chosen by detail score, not outcome. Historical award mapping did not control selection.</t>
        </is>
      </c>
      <c r="AV37" s="2" t="inlineStr">
        <is>
          <t>65349</t>
        </is>
      </c>
    </row>
    <row r="38">
      <c r="A38" s="2" t="inlineStr">
        <is>
          <t>HOS01-037</t>
        </is>
      </c>
      <c r="B38" s="2" t="inlineStr">
        <is>
          <t>31f5fafb354045c4b6aa874ae5b27a16</t>
        </is>
      </c>
      <c r="C38" s="2" t="inlineStr">
        <is>
          <t>SPE2D223R0001</t>
        </is>
      </c>
      <c r="D38" s="2" t="inlineStr">
        <is>
          <t>https://sam.gov/workspace/contract/opp/31f5fafb354045c4b6aa874ae5b27a16/view</t>
        </is>
      </c>
      <c r="E38" s="2" t="inlineStr">
        <is>
          <t>Solicitation</t>
        </is>
      </c>
      <c r="F38" s="2" t="inlineStr">
        <is>
          <t>2023-01-05</t>
        </is>
      </c>
      <c r="G38" s="2" t="inlineStr">
        <is>
          <t>2023-02-17</t>
        </is>
      </c>
      <c r="H38" s="2" t="inlineStr">
        <is>
          <t>DEPT OF DEFENSE</t>
        </is>
      </c>
      <c r="I38" s="2" t="inlineStr">
        <is>
          <t>DEFENSE LOGISTICS AGENCY</t>
        </is>
      </c>
      <c r="J38" s="2" t="inlineStr">
        <is>
          <t>DLA TROOP SUPPORT</t>
        </is>
      </c>
      <c r="K38" s="2" t="inlineStr">
        <is>
          <t>Tolterodine Tartrate ER 24HR Capsules</t>
        </is>
      </c>
      <c r="L38" s="2" t="inlineStr">
        <is>
          <t>Amendment 0004 issued February 08, 2023 to extend the solicitation closing date from February 09, 2023 3:00 PM EST to February 17, 2023 3:00 PM EST. Amendment 0003 issued January 26, 2023 to extend the solicitation closing date from Janaury 26, 2023 3:00 PM EST to February 09, 2023 3:00 PM EST. Amendment 0002 issued January 05, 2023 to extend the solicitation closing date from Janaury 12, 2023 3:00 PM EST to January 26, 2023 3:00 PM EST. Amendment 0001 issued December 16, 2022 to incorporate statement, DoD Class Deviation 2023-O0001, Verification of Eligibility of Small Business Joint Ventures, into solicitation. Solicitation SPE2D2-23-R-0001 Tolterodine Tartrate ER 24HR 4MG and Tolterodine Tartrate ER 24HR 2MG Capsules</t>
        </is>
      </c>
      <c r="M38" s="2" t="inlineStr">
        <is>
          <t>325412</t>
        </is>
      </c>
      <c r="N38" s="2" t="inlineStr">
        <is>
          <t>6505</t>
        </is>
      </c>
      <c r="O38" s="2" t="inlineStr"/>
      <c r="P38" s="2" t="inlineStr">
        <is>
          <t>Unknown pre-award; historical award retained only as answer key when mapped</t>
        </is>
      </c>
      <c r="Q38" s="2" t="inlineStr">
        <is>
          <t>Product / commercial supply candidate</t>
        </is>
      </c>
      <c r="R38" s="2" t="inlineStr">
        <is>
          <t>Mixed controls</t>
        </is>
      </c>
      <c r="S38" s="2" t="inlineStr"/>
      <c r="T38" s="2" t="inlineStr">
        <is>
          <t>Archive review required</t>
        </is>
      </c>
      <c r="U38" s="2" t="inlineStr">
        <is>
          <t>Direct notice/resource lookup required</t>
        </is>
      </c>
      <c r="V38" s="2" t="inlineStr">
        <is>
          <t>Yes — 3 notice version(s)</t>
        </is>
      </c>
      <c r="W38" s="2" t="inlineStr">
        <is>
          <t>Unknown — archive retrieval required</t>
        </is>
      </c>
      <c r="X38" s="2" t="inlineStr">
        <is>
          <t>Mapped from 2023-2025 award index</t>
        </is>
      </c>
      <c r="Y38" s="2" t="inlineStr">
        <is>
          <t>https://sam.gov/workspace/contract/opp/0acdabc0dd7c47689554741370c408a6/view</t>
        </is>
      </c>
      <c r="Z38" s="2" t="inlineStr">
        <is>
          <t>GOLDEN STATE MEDICAL SUPPLY INC Camarillo CA 93012 USA</t>
        </is>
      </c>
      <c r="AA38" s="2" t="inlineStr">
        <is>
          <t>12107332.75</t>
        </is>
      </c>
      <c r="AB38" s="2" t="inlineStr">
        <is>
          <t>Award Notice</t>
        </is>
      </c>
      <c r="AC38" s="2" t="inlineStr">
        <is>
          <t>No parent vehicle indicated at solicitation intake; verify clauses</t>
        </is>
      </c>
      <c r="AD38" s="2" t="inlineStr">
        <is>
          <t>Potentially yes — direct solicitation or combined notice</t>
        </is>
      </c>
      <c r="AE38" s="2" t="inlineStr">
        <is>
          <t>No evidence in metadata; verify solicitation</t>
        </is>
      </c>
      <c r="AF38" s="2" t="inlineStr">
        <is>
          <t>Potentially yes — subject to historical SAM registration and representations</t>
        </is>
      </c>
      <c r="AG38" s="2" t="inlineStr">
        <is>
          <t>No conflict detected in metadata; exact product review required</t>
        </is>
      </c>
      <c r="AH38" s="2" t="inlineStr">
        <is>
          <t>Exact product/NSN review required</t>
        </is>
      </c>
      <c r="AI38" s="2" t="inlineStr">
        <is>
          <t>Pass / no automatic exclusion detected</t>
        </is>
      </c>
      <c r="AJ38" s="2" t="inlineStr">
        <is>
          <t>Partial metadata; archive retrieval required</t>
        </is>
      </c>
      <c r="AK38" s="2" t="inlineStr">
        <is>
          <t>Unknown — never infer from award amount</t>
        </is>
      </c>
      <c r="AL38" s="2" t="inlineStr">
        <is>
          <t>Not modeled before archive and supplier-pricing gates</t>
        </is>
      </c>
      <c r="AM38" s="2" t="inlineStr">
        <is>
          <t>Unclassified pending requirements and sourcing</t>
        </is>
      </c>
      <c r="AN38" s="2" t="inlineStr">
        <is>
          <t>Not modeled before supplier pricing</t>
        </is>
      </c>
      <c r="AO38" s="2" t="inlineStr">
        <is>
          <t>90</t>
        </is>
      </c>
      <c r="AP38" s="2" t="inlineStr">
        <is>
          <t>37</t>
        </is>
      </c>
      <c r="AQ38" s="2" t="inlineStr">
        <is>
          <t>Single</t>
        </is>
      </c>
      <c r="AR38" s="2" t="inlineStr">
        <is>
          <t>Passes Gates 1-6 preliminarily; Gate 7 archive review pending</t>
        </is>
      </c>
      <c r="AS38" s="2" t="inlineStr">
        <is>
          <t>REVIEW — archive reconstruction</t>
        </is>
      </c>
      <c r="AT38" s="2" t="inlineStr">
        <is>
          <t>Moderate — official extract metadata; direct archive review pending</t>
        </is>
      </c>
      <c r="AU38" s="2" t="inlineStr">
        <is>
          <t>Selection role: Target-lane candidate. Solicitation family contains 3 notice version(s): 28b7f43965ed490c86e1c6709f81b39a; b79925258c5a410a846f3233aaee3a7f; 31f5fafb354045c4b6aa874ae5b27a16. Representative notice chosen by detail score, not outcome. Historical award mapping did not control selection.</t>
        </is>
      </c>
      <c r="AV38" s="2" t="inlineStr">
        <is>
          <t>69962</t>
        </is>
      </c>
    </row>
    <row r="39">
      <c r="A39" s="2" t="inlineStr">
        <is>
          <t>HOS01-038</t>
        </is>
      </c>
      <c r="B39" s="2" t="inlineStr">
        <is>
          <t>ea7713e9c23b4836b7b1dbe2f5b3a91c</t>
        </is>
      </c>
      <c r="C39" s="2" t="inlineStr">
        <is>
          <t>Solicitation_SPE2D224R0005</t>
        </is>
      </c>
      <c r="D39" s="2" t="inlineStr">
        <is>
          <t>https://sam.gov/workspace/contract/opp/ea7713e9c23b4836b7b1dbe2f5b3a91c/view</t>
        </is>
      </c>
      <c r="E39" s="2" t="inlineStr">
        <is>
          <t>Solicitation</t>
        </is>
      </c>
      <c r="F39" s="2" t="inlineStr">
        <is>
          <t>2024-03-12</t>
        </is>
      </c>
      <c r="G39" s="2" t="inlineStr">
        <is>
          <t>2024-05-02</t>
        </is>
      </c>
      <c r="H39" s="2" t="inlineStr">
        <is>
          <t>DEPT OF DEFENSE</t>
        </is>
      </c>
      <c r="I39" s="2" t="inlineStr">
        <is>
          <t>DEFENSE LOGISTICS AGENCY</t>
        </is>
      </c>
      <c r="J39" s="2" t="inlineStr">
        <is>
          <t>DLA TROOP SUPPORT</t>
        </is>
      </c>
      <c r="K39" s="2" t="inlineStr">
        <is>
          <t>Budesonide Inhalation Suspension</t>
        </is>
      </c>
      <c r="L39" s="2" t="inlineStr">
        <is>
          <t>Budesonide Inhalation Suspension solicitation has been extended to May 2, 2024 03:00PM EDT.</t>
        </is>
      </c>
      <c r="M39" s="2" t="inlineStr">
        <is>
          <t>325412</t>
        </is>
      </c>
      <c r="N39" s="2" t="inlineStr">
        <is>
          <t>6505</t>
        </is>
      </c>
      <c r="O39" s="2" t="inlineStr"/>
      <c r="P39" s="2" t="inlineStr">
        <is>
          <t>Unknown pre-award; historical award retained only as answer key when mapped</t>
        </is>
      </c>
      <c r="Q39" s="2" t="inlineStr">
        <is>
          <t>Product / commercial supply candidate</t>
        </is>
      </c>
      <c r="R39" s="2" t="inlineStr">
        <is>
          <t>Mixed controls</t>
        </is>
      </c>
      <c r="S39" s="2" t="inlineStr"/>
      <c r="T39" s="2" t="inlineStr">
        <is>
          <t>Archive review required</t>
        </is>
      </c>
      <c r="U39" s="2" t="inlineStr">
        <is>
          <t>Direct notice/resource lookup required</t>
        </is>
      </c>
      <c r="V39" s="2" t="inlineStr">
        <is>
          <t>Yes — 10 notice version(s)</t>
        </is>
      </c>
      <c r="W39" s="2" t="inlineStr">
        <is>
          <t>Unknown — archive retrieval required</t>
        </is>
      </c>
      <c r="X39" s="2" t="inlineStr">
        <is>
          <t>Not yet recovered</t>
        </is>
      </c>
      <c r="Y39" s="2" t="inlineStr"/>
      <c r="Z39" s="2" t="inlineStr"/>
      <c r="AA39" s="2" t="inlineStr"/>
      <c r="AB39" s="2" t="inlineStr"/>
      <c r="AC39" s="2" t="inlineStr">
        <is>
          <t>No parent vehicle indicated at solicitation intake; verify clauses</t>
        </is>
      </c>
      <c r="AD39" s="2" t="inlineStr">
        <is>
          <t>Potentially yes — direct solicitation or combined notice</t>
        </is>
      </c>
      <c r="AE39" s="2" t="inlineStr">
        <is>
          <t>No evidence in metadata; verify solicitation</t>
        </is>
      </c>
      <c r="AF39" s="2" t="inlineStr">
        <is>
          <t>Potentially yes — subject to historical SAM registration and representations</t>
        </is>
      </c>
      <c r="AG39" s="2" t="inlineStr">
        <is>
          <t>No conflict detected in metadata; exact product review required</t>
        </is>
      </c>
      <c r="AH39" s="2" t="inlineStr">
        <is>
          <t>Exact product/NSN review required</t>
        </is>
      </c>
      <c r="AI39" s="2" t="inlineStr">
        <is>
          <t>Pass / no automatic exclusion detected</t>
        </is>
      </c>
      <c r="AJ39" s="2" t="inlineStr">
        <is>
          <t>Sparse metadata; high Gate 7 risk</t>
        </is>
      </c>
      <c r="AK39" s="2" t="inlineStr">
        <is>
          <t>Unknown — never infer from award amount</t>
        </is>
      </c>
      <c r="AL39" s="2" t="inlineStr">
        <is>
          <t>Not modeled before archive and supplier-pricing gates</t>
        </is>
      </c>
      <c r="AM39" s="2" t="inlineStr">
        <is>
          <t>Unclassified pending requirements and sourcing</t>
        </is>
      </c>
      <c r="AN39" s="2" t="inlineStr">
        <is>
          <t>Not modeled before supplier pricing</t>
        </is>
      </c>
      <c r="AO39" s="2" t="inlineStr">
        <is>
          <t>90</t>
        </is>
      </c>
      <c r="AP39" s="2" t="inlineStr">
        <is>
          <t>45</t>
        </is>
      </c>
      <c r="AQ39" s="2" t="inlineStr">
        <is>
          <t>Double</t>
        </is>
      </c>
      <c r="AR39" s="2" t="inlineStr">
        <is>
          <t>Passes Gates 1-6 preliminarily; Gate 7 archive review pending</t>
        </is>
      </c>
      <c r="AS39" s="2" t="inlineStr">
        <is>
          <t>REVIEW — archive reconstruction</t>
        </is>
      </c>
      <c r="AT39" s="2" t="inlineStr">
        <is>
          <t>Moderate — official extract metadata; direct archive review pending</t>
        </is>
      </c>
      <c r="AU39" s="2" t="inlineStr">
        <is>
          <t>Selection role: Target-lane candidate. Solicitation family contains 10 notice version(s): 63b13da4a6f44dd38e6a8dbce1244db4; 488fe4e0991e4ba080fa503578a39d34; 5e98b44015244ec7bbd103f21d6f727c; 179e247d10374916830ffa04210de483; ea7713e9c23b4836b7b1dbe2f5b3a91c; 40eff1e588f548f1b81e7b3b7c15fc10; 4739a3dccff4414eb950bad3b588cad9; 3c782bafed89482aa2b0e5139a36f832; fcdd6d36501a4520aaba76b8c04e58ce; 0648dbb56c6d4215ba03065d634bb1c8. Representative notice chosen by detail score, not outcome. Historical award mapping did not control selection.</t>
        </is>
      </c>
      <c r="AV39" s="2" t="inlineStr">
        <is>
          <t>66719</t>
        </is>
      </c>
    </row>
    <row r="40">
      <c r="A40" s="2" t="inlineStr">
        <is>
          <t>HOS01-039</t>
        </is>
      </c>
      <c r="B40" s="2" t="inlineStr">
        <is>
          <t>b250ed4ebdac401db2494cb93095633c</t>
        </is>
      </c>
      <c r="C40" s="2" t="inlineStr">
        <is>
          <t>QSE--36C78623Q50114</t>
        </is>
      </c>
      <c r="D40" s="2" t="inlineStr">
        <is>
          <t>https://sam.gov/workspace/contract/opp/b250ed4ebdac401db2494cb93095633c/view</t>
        </is>
      </c>
      <c r="E40" s="2" t="inlineStr">
        <is>
          <t>Combined Synopsis/Solicitation</t>
        </is>
      </c>
      <c r="F40" s="2" t="inlineStr">
        <is>
          <t>2023-03-13</t>
        </is>
      </c>
      <c r="G40" s="2" t="inlineStr">
        <is>
          <t>2023-04-12</t>
        </is>
      </c>
      <c r="H40" s="2" t="inlineStr">
        <is>
          <t>VETERANS AFFAIRS, DEPARTMENT OF</t>
        </is>
      </c>
      <c r="I40" s="2" t="inlineStr">
        <is>
          <t>VETERANS AFFAIRS, DEPARTMENT OF</t>
        </is>
      </c>
      <c r="J40" s="2" t="inlineStr">
        <is>
          <t>NATIONAL CEMETERY ADMIN (36C786)</t>
        </is>
      </c>
      <c r="K40" s="2" t="inlineStr">
        <is>
          <t>The Long Island National Cemetery is in need of Trash Removal Services for a new Base and Option Years requirement. -- S205</t>
        </is>
      </c>
      <c r="L40" s="2" t="inlineStr">
        <is>
          <t>The Long Island National Cemetery is in need of Trash Removal Services for a new Base and Option Years requirement. -- S205 Subject to the Availability of FY23 Funds. Contractor shall provide non-hazardous waste (trash) collection and disposal services to LINC. PoP APRIL 1, 2023 - MARCH 31, 2024 The Long Island National Cemetery is in need of Trash Removal Services performed for a new base option years.</t>
        </is>
      </c>
      <c r="M40" s="2" t="inlineStr">
        <is>
          <t>562111</t>
        </is>
      </c>
      <c r="N40" s="2" t="inlineStr">
        <is>
          <t>S205</t>
        </is>
      </c>
      <c r="O40" s="2" t="inlineStr">
        <is>
          <t>Service-Disabled Veteran-Owned Small Business Set Aside</t>
        </is>
      </c>
      <c r="P40" s="2" t="inlineStr">
        <is>
          <t>Unknown pre-award; historical award retained only as answer key when mapped</t>
        </is>
      </c>
      <c r="Q40" s="2" t="inlineStr">
        <is>
          <t>Product / commercial supply candidate</t>
        </is>
      </c>
      <c r="R40" s="2" t="inlineStr">
        <is>
          <t>Mixed controls</t>
        </is>
      </c>
      <c r="S40" s="2" t="inlineStr">
        <is>
          <t>Farmingdale, NY, 11735, USA</t>
        </is>
      </c>
      <c r="T40" s="2" t="inlineStr">
        <is>
          <t>Farmingdale, NY, 11735, USA</t>
        </is>
      </c>
      <c r="U40" s="2" t="inlineStr">
        <is>
          <t>Direct notice/resource lookup required</t>
        </is>
      </c>
      <c r="V40" s="2" t="inlineStr">
        <is>
          <t>Yes — 4 notice version(s)</t>
        </is>
      </c>
      <c r="W40" s="2" t="inlineStr">
        <is>
          <t>Unknown — archive retrieval required</t>
        </is>
      </c>
      <c r="X40" s="2" t="inlineStr">
        <is>
          <t>Mapped from 2023-2025 award index</t>
        </is>
      </c>
      <c r="Y40" s="2" t="inlineStr">
        <is>
          <t>https://sam.gov/workspace/contract/opp/91fd6412f75b4138b67bec3c3b336a63/view</t>
        </is>
      </c>
      <c r="Z40" s="2" t="inlineStr">
        <is>
          <t>HAMILTON ALLIANCE INC</t>
        </is>
      </c>
      <c r="AA40" s="2" t="inlineStr">
        <is>
          <t>301296</t>
        </is>
      </c>
      <c r="AB40" s="2" t="inlineStr">
        <is>
          <t>Award Notice</t>
        </is>
      </c>
      <c r="AC40" s="2" t="inlineStr">
        <is>
          <t>No parent vehicle indicated at solicitation intake; verify clauses</t>
        </is>
      </c>
      <c r="AD40" s="2" t="inlineStr">
        <is>
          <t>Potentially yes — direct solicitation or combined notice</t>
        </is>
      </c>
      <c r="AE40" s="2" t="inlineStr">
        <is>
          <t>No evidence in metadata; verify solicitation</t>
        </is>
      </c>
      <c r="AF40" s="2" t="inlineStr">
        <is>
          <t>No — socioeconomic set-aside not held by GGG</t>
        </is>
      </c>
      <c r="AG40" s="2" t="inlineStr">
        <is>
          <t>No conflict detected in metadata; exact product review required</t>
        </is>
      </c>
      <c r="AH40" s="2" t="inlineStr">
        <is>
          <t>Exact product/NSN review required</t>
        </is>
      </c>
      <c r="AI40" s="2" t="inlineStr">
        <is>
          <t>Pass / no automatic exclusion detected</t>
        </is>
      </c>
      <c r="AJ40" s="2" t="inlineStr">
        <is>
          <t>Partial metadata; archive retrieval required</t>
        </is>
      </c>
      <c r="AK40" s="2" t="inlineStr">
        <is>
          <t>Unknown — never infer from award amount</t>
        </is>
      </c>
      <c r="AL40" s="2" t="inlineStr">
        <is>
          <t>Not modeled before archive and supplier-pricing gates</t>
        </is>
      </c>
      <c r="AM40" s="2" t="inlineStr">
        <is>
          <t>Unclassified pending requirements and sourcing</t>
        </is>
      </c>
      <c r="AN40" s="2" t="inlineStr">
        <is>
          <t>Not modeled before supplier pricing</t>
        </is>
      </c>
      <c r="AO40" s="2" t="inlineStr">
        <is>
          <t>0</t>
        </is>
      </c>
      <c r="AP40" s="2" t="inlineStr">
        <is>
          <t>37</t>
        </is>
      </c>
      <c r="AQ40" s="2" t="inlineStr">
        <is>
          <t>Strikeout</t>
        </is>
      </c>
      <c r="AR40" s="2" t="inlineStr">
        <is>
          <t>Gate 4 — GGG eligibility</t>
        </is>
      </c>
      <c r="AS40" s="2" t="inlineStr">
        <is>
          <t>NO-BID / CONTROL</t>
        </is>
      </c>
      <c r="AT40" s="2" t="inlineStr">
        <is>
          <t>Moderate — official extract metadata; direct archive review pending</t>
        </is>
      </c>
      <c r="AU40" s="2" t="inlineStr">
        <is>
          <t>Selection role: Target-lane candidate. Solicitation family contains 4 notice version(s): 9b005904f2b444da953aec8892314f27; 50f52498a19044c88ee4d00afdbe1063; ed6e21e4ad65410a84d2213e1ce163e0; b250ed4ebdac401db2494cb93095633c. Representative notice chosen by detail score, not outcome. Historical award mapping did not control selection.</t>
        </is>
      </c>
      <c r="AV40" s="2" t="inlineStr">
        <is>
          <t>68453</t>
        </is>
      </c>
    </row>
    <row r="41">
      <c r="A41" s="2" t="inlineStr">
        <is>
          <t>HOS01-040</t>
        </is>
      </c>
      <c r="B41" s="2" t="inlineStr">
        <is>
          <t>fdf4616fcb0c4f3095f7e74601254020</t>
        </is>
      </c>
      <c r="C41" s="2" t="inlineStr">
        <is>
          <t>12569R24Q7002</t>
        </is>
      </c>
      <c r="D41" s="2" t="inlineStr">
        <is>
          <t>https://sam.gov/workspace/contract/opp/fdf4616fcb0c4f3095f7e74601254020/view</t>
        </is>
      </c>
      <c r="E41" s="2" t="inlineStr">
        <is>
          <t>Solicitation</t>
        </is>
      </c>
      <c r="F41" s="2" t="inlineStr">
        <is>
          <t>2024-02-15</t>
        </is>
      </c>
      <c r="G41" s="2" t="inlineStr">
        <is>
          <t>2024-03-18</t>
        </is>
      </c>
      <c r="H41" s="2" t="inlineStr">
        <is>
          <t>AGRICULTURE, DEPARTMENT OF</t>
        </is>
      </c>
      <c r="I41" s="2" t="inlineStr">
        <is>
          <t>FOREST SERVICE</t>
        </is>
      </c>
      <c r="J41" s="2" t="inlineStr">
        <is>
          <t>USDA-FS PPS INCIDENT PROCUREMENT</t>
        </is>
      </c>
      <c r="K41" s="2" t="inlineStr">
        <is>
          <t>VIPR I-BPA for Mobile Chainsaw Repair Service Trailer for Region 5 - Pacific Southwest Region and Region 6 Pacific Northwest Region</t>
        </is>
      </c>
      <c r="L41" s="2" t="inlineStr">
        <is>
          <t>The Department of Agriculture (USDA), US Forest Service (USFS), Equipment and Services Branch (ESB) West Zone (Regions 5 and 6), anticipates soliciting quotes (RFQ) for Mobile Chainsaw Repair Trailers for use during Local, Regional, and nationwide fire suppression and all-hazard incidents. Section D.2 within the solicitation will contain equipment details. The Contractor is responsible for all equipment, materials, supplies, transportation, lodging, trained/certified personnel, and supervision and management of those personnel, necessary to meet or exceed the Agreement specifications. The resources may be used in the protection of lands, to include but not be limited to, severity, fire suppression and all-hazard incidents, and RX Prescribed Project work. Optional awarded Agreement use by Interagency Cooperators (DOI,NPS,BIA,State etc..) are subject to that agency's payment and administrative terms. The USFS Fire and Aviation Management (F&amp;AM) Regional Program Office Representatives will determine annually whether it is in the Government?s best interest to initiate an open season on-ramping process to add additional Contractors and/or resources during the annual Contracting Officer (CO) review period noted in Section C.3.1 of the solicitation. RATES: Proposed rates should be based on up to a 16hr. Daily Shift and include all within B.2 -- PRICING AND ESTIMATED QUANTITY. Note: D21.81 -- Rates of Payment will be at the rates specified in the agreement that is in effect at the time of the order. DISPATCH CENTER: Agreements will be competitively awarded within the advertised and available Regional dispatch centers. Agreement intent and Government guidance is for Quoters to select the available dispatch center closest to their resource location in order to reasonably meet the</t>
        </is>
      </c>
      <c r="M41" s="2" t="inlineStr">
        <is>
          <t>115310</t>
        </is>
      </c>
      <c r="N41" s="2" t="inlineStr">
        <is>
          <t>F003</t>
        </is>
      </c>
      <c r="O41" s="2" t="inlineStr">
        <is>
          <t>Total Small Business Set-Aside (FAR 19.5)</t>
        </is>
      </c>
      <c r="P41" s="2" t="inlineStr">
        <is>
          <t>Unknown pre-award; historical award retained only as answer key when mapped</t>
        </is>
      </c>
      <c r="Q41" s="2" t="inlineStr">
        <is>
          <t>Excluded or control category</t>
        </is>
      </c>
      <c r="R41" s="2" t="inlineStr">
        <is>
          <t>Office and facility consumables</t>
        </is>
      </c>
      <c r="S41" s="2" t="inlineStr"/>
      <c r="T41" s="2" t="inlineStr">
        <is>
          <t>Archive review required</t>
        </is>
      </c>
      <c r="U41" s="2" t="inlineStr">
        <is>
          <t>Direct notice/resource lookup required</t>
        </is>
      </c>
      <c r="V41" s="2" t="inlineStr">
        <is>
          <t>No separate version identified in extract</t>
        </is>
      </c>
      <c r="W41" s="2" t="inlineStr">
        <is>
          <t>Unknown — archive retrieval required</t>
        </is>
      </c>
      <c r="X41" s="2" t="inlineStr">
        <is>
          <t>Not yet recovered</t>
        </is>
      </c>
      <c r="Y41" s="2" t="inlineStr"/>
      <c r="Z41" s="2" t="inlineStr"/>
      <c r="AA41" s="2" t="inlineStr"/>
      <c r="AB41" s="2" t="inlineStr"/>
      <c r="AC41" s="2" t="inlineStr">
        <is>
          <t>No parent vehicle indicated at solicitation intake; verify clauses</t>
        </is>
      </c>
      <c r="AD41" s="2" t="inlineStr">
        <is>
          <t>Potentially yes — direct solicitation or combined notice</t>
        </is>
      </c>
      <c r="AE41" s="2" t="inlineStr">
        <is>
          <t>No evidence in metadata; verify solicitation</t>
        </is>
      </c>
      <c r="AF41" s="2" t="inlineStr">
        <is>
          <t>Potentially yes — subject to historical SAM registration and representations</t>
        </is>
      </c>
      <c r="AG41" s="2" t="inlineStr">
        <is>
          <t>No conflict detected in metadata; exact product review required</t>
        </is>
      </c>
      <c r="AH41" s="2" t="inlineStr">
        <is>
          <t>Exact product/NSN review required</t>
        </is>
      </c>
      <c r="AI41" s="2" t="inlineStr">
        <is>
          <t>Construction / installation / repair / field service</t>
        </is>
      </c>
      <c r="AJ41" s="2" t="inlineStr">
        <is>
          <t>Promising metadata; archive requirements review required</t>
        </is>
      </c>
      <c r="AK41" s="2" t="inlineStr">
        <is>
          <t>Unknown — never infer from award amount</t>
        </is>
      </c>
      <c r="AL41" s="2" t="inlineStr">
        <is>
          <t>Not modeled before archive and supplier-pricing gates</t>
        </is>
      </c>
      <c r="AM41" s="2" t="inlineStr">
        <is>
          <t>Unclassified pending requirements and sourcing</t>
        </is>
      </c>
      <c r="AN41" s="2" t="inlineStr">
        <is>
          <t>Not modeled before supplier pricing</t>
        </is>
      </c>
      <c r="AO41" s="2" t="inlineStr">
        <is>
          <t>90</t>
        </is>
      </c>
      <c r="AP41" s="2" t="inlineStr">
        <is>
          <t>0</t>
        </is>
      </c>
      <c r="AQ41" s="2" t="inlineStr">
        <is>
          <t>Strikeout</t>
        </is>
      </c>
      <c r="AR41" s="2" t="inlineStr">
        <is>
          <t>Gate 6 — product/service exclusion</t>
        </is>
      </c>
      <c r="AS41" s="2" t="inlineStr">
        <is>
          <t>NO-BID / CONTROL</t>
        </is>
      </c>
      <c r="AT41" s="2" t="inlineStr">
        <is>
          <t>Moderate — official extract metadata; direct archive review pending</t>
        </is>
      </c>
      <c r="AU41" s="2" t="inlineStr">
        <is>
          <t>Selection role: Target-lane candidate. Solicitation family contains 1 notice version(s): fdf4616fcb0c4f3095f7e74601254020. Representative notice chosen by detail score, not outcome. Historical award mapping did not control selection.</t>
        </is>
      </c>
      <c r="AV41" s="2" t="inlineStr">
        <is>
          <t>67236</t>
        </is>
      </c>
    </row>
    <row r="42">
      <c r="A42" s="2" t="inlineStr">
        <is>
          <t>HOS01-041</t>
        </is>
      </c>
      <c r="B42" s="2" t="inlineStr">
        <is>
          <t>e1031d25b555410aa54a95d0e32b4637</t>
        </is>
      </c>
      <c r="C42" s="2" t="inlineStr">
        <is>
          <t>47QMCA21R0013</t>
        </is>
      </c>
      <c r="D42" s="2" t="inlineStr">
        <is>
          <t>https://sam.gov/workspace/contract/opp/e1031d25b555410aa54a95d0e32b4637/view</t>
        </is>
      </c>
      <c r="E42" s="2" t="inlineStr">
        <is>
          <t>Solicitation</t>
        </is>
      </c>
      <c r="F42" s="2" t="inlineStr">
        <is>
          <t>2023-07-20</t>
        </is>
      </c>
      <c r="G42" s="2" t="inlineStr">
        <is>
          <t>2021-09-29</t>
        </is>
      </c>
      <c r="H42" s="2" t="inlineStr">
        <is>
          <t>GENERAL SERVICES ADMINISTRATION</t>
        </is>
      </c>
      <c r="I42" s="2" t="inlineStr">
        <is>
          <t>FEDERAL ACQUISITION SERVICE</t>
        </is>
      </c>
      <c r="J42" s="2" t="inlineStr">
        <is>
          <t>GSA/FAS AUTOMOTIVE CENTER</t>
        </is>
      </c>
      <c r="K42" s="2" t="inlineStr">
        <is>
          <t>2022 Transit Bus Program</t>
        </is>
      </c>
      <c r="L42" s="2" t="inlineStr">
        <is>
          <t>UPDATE October 29, 2024:- SPECIAL NOTICE ON STATUS OF SOLICITATION (October 29, 2024): Solicitation 47QMCA21R0013 remains open beyond the initial deadline of November 15, 2021 (Amendment 0005), for Standard Item 888E only. Item 888E is an open line item that allows an offeror to propose any commercially-made motor vehicle incorporating emerging technology, for which there is an existing Federal Standard vehicle category and which conforms to all GSA standards and regulations that pertain to the Government�s motor vehicle requirements. Please see attached 888E SOP For New Offeror and 888E Proposal Template for more information. UPDATE: August 19, 2024 - AutoBid will open Tuesday, August 20, 2024 at 8am EDT and close Monday, September 16,2024 at 4pm EDT. Please use the latest set of Purchase Descriptions (PDs) stored in Attachments for the SINs you wish to bid on. UPDATE: July 11, 2024 - AutoStandards1 will open Monday, July 15, 2024 at 8am EDT and close Monday, July 22,2024 at 8am EDT. During this time, vendors (and offerors who set up an AutoBid account - see Request for GSA AutoBid Account Form in the Attachments section) will be able to make suggestions to the Purchase Descriptions (PDs) for SINs 377A, 377B, 377C, 377D, 377E, 377F, 377G, 377H , 377I, 377K, and 377L (updated July 10, 2024 - See Attachments section) as well as update their model minimum requirements. UPDATE: July 10, 2024 - Should vendors or potential offerors wish to view the recording of the Joint Program Open Season Conference held on June 27, 2024, offerors may request a GSA Affiliated Customer Account (GACA). Visit the following website for instructions: https://insite.gsa.gov/system/files/insite/GACA__GSAAffiliatedCustomerAccounts_FEB_2023-v3.pdf (cut and paste address into your browser). Once app</t>
        </is>
      </c>
      <c r="M42" s="2" t="inlineStr">
        <is>
          <t>336211</t>
        </is>
      </c>
      <c r="N42" s="2" t="inlineStr">
        <is>
          <t>2310</t>
        </is>
      </c>
      <c r="O42" s="2" t="inlineStr"/>
      <c r="P42" s="2" t="inlineStr">
        <is>
          <t>Unknown pre-award; historical award retained only as answer key when mapped</t>
        </is>
      </c>
      <c r="Q42" s="2" t="inlineStr">
        <is>
          <t>Excluded or control category</t>
        </is>
      </c>
      <c r="R42" s="2" t="inlineStr">
        <is>
          <t>Office and facility consumables</t>
        </is>
      </c>
      <c r="S42" s="2" t="inlineStr">
        <is>
          <t>USA</t>
        </is>
      </c>
      <c r="T42" s="2" t="inlineStr">
        <is>
          <t>USA</t>
        </is>
      </c>
      <c r="U42" s="2" t="inlineStr">
        <is>
          <t>Direct notice/resource lookup required</t>
        </is>
      </c>
      <c r="V42" s="2" t="inlineStr">
        <is>
          <t>Yes — 10 notice version(s)</t>
        </is>
      </c>
      <c r="W42" s="2" t="inlineStr">
        <is>
          <t>Unknown — archive retrieval required</t>
        </is>
      </c>
      <c r="X42" s="2" t="inlineStr">
        <is>
          <t>Mapped from 2023-2025 award index</t>
        </is>
      </c>
      <c r="Y42" s="2" t="inlineStr">
        <is>
          <t>https://sam.gov/workspace/contract/opp/d828f8bb72884ecab2add79f4035f593/view</t>
        </is>
      </c>
      <c r="Z42" s="2" t="inlineStr"/>
      <c r="AA42" s="2" t="inlineStr"/>
      <c r="AB42" s="2" t="inlineStr">
        <is>
          <t>Justification</t>
        </is>
      </c>
      <c r="AC42" s="2" t="inlineStr">
        <is>
          <t>No parent vehicle indicated at solicitation intake; verify clauses</t>
        </is>
      </c>
      <c r="AD42" s="2" t="inlineStr">
        <is>
          <t>Potentially yes — direct solicitation or combined notice</t>
        </is>
      </c>
      <c r="AE42" s="2" t="inlineStr">
        <is>
          <t>No evidence in metadata; verify solicitation</t>
        </is>
      </c>
      <c r="AF42" s="2" t="inlineStr">
        <is>
          <t>Potentially yes — subject to historical SAM registration and representations</t>
        </is>
      </c>
      <c r="AG42" s="2" t="inlineStr">
        <is>
          <t>No conflict detected in metadata; exact product review required</t>
        </is>
      </c>
      <c r="AH42" s="2" t="inlineStr">
        <is>
          <t>Exact product/NSN review required</t>
        </is>
      </c>
      <c r="AI42" s="2" t="inlineStr">
        <is>
          <t>Rental / lease</t>
        </is>
      </c>
      <c r="AJ42" s="2" t="inlineStr">
        <is>
          <t>Promising metadata; archive requirements review required</t>
        </is>
      </c>
      <c r="AK42" s="2" t="inlineStr">
        <is>
          <t>Unknown — never infer from award amount</t>
        </is>
      </c>
      <c r="AL42" s="2" t="inlineStr">
        <is>
          <t>Not modeled before archive and supplier-pricing gates</t>
        </is>
      </c>
      <c r="AM42" s="2" t="inlineStr">
        <is>
          <t>Unclassified pending requirements and sourcing</t>
        </is>
      </c>
      <c r="AN42" s="2" t="inlineStr">
        <is>
          <t>Not modeled before supplier pricing</t>
        </is>
      </c>
      <c r="AO42" s="2" t="inlineStr">
        <is>
          <t>90</t>
        </is>
      </c>
      <c r="AP42" s="2" t="inlineStr">
        <is>
          <t>0</t>
        </is>
      </c>
      <c r="AQ42" s="2" t="inlineStr">
        <is>
          <t>Strikeout</t>
        </is>
      </c>
      <c r="AR42" s="2" t="inlineStr">
        <is>
          <t>Gate 6 — product/service exclusion</t>
        </is>
      </c>
      <c r="AS42" s="2" t="inlineStr">
        <is>
          <t>NO-BID / CONTROL</t>
        </is>
      </c>
      <c r="AT42" s="2" t="inlineStr">
        <is>
          <t>Moderate — official extract metadata; direct archive review pending</t>
        </is>
      </c>
      <c r="AU42" s="2" t="inlineStr">
        <is>
          <t>Selection role: Target-lane candidate. Solicitation family contains 10 notice version(s): 450a6bdd882a4178804814c1d604b29a; 12be00c5ff3646f4b405193293bf14a0; b87bbdaa63274978bc9da094ff7b8605; 73ea118b20dd49258e10dadbbb937bf6; cf217b0baca84eecb0287ddeebc93bf1; 2e47dc42fe4e4092a50130695f37042c; 8af31dafd7db4c6494208ac899761630; d702a46ea6c542579d1b6ed72f278233; 2e5dd18c646d407c91bacada19118d42; e1031d25b555410aa54a95d0e32b4637. Representative notice chosen by detail score, not outcome. Historical award mapping did not control selection.</t>
        </is>
      </c>
      <c r="AV42" s="2" t="inlineStr">
        <is>
          <t>64960</t>
        </is>
      </c>
    </row>
    <row r="43">
      <c r="A43" s="2" t="inlineStr">
        <is>
          <t>HOS01-042</t>
        </is>
      </c>
      <c r="B43" s="2" t="inlineStr">
        <is>
          <t>ed7cc4c564df483fb14c753d4835c202</t>
        </is>
      </c>
      <c r="C43" s="2" t="inlineStr">
        <is>
          <t>W912P623Q0016</t>
        </is>
      </c>
      <c r="D43" s="2" t="inlineStr">
        <is>
          <t>https://sam.gov/workspace/contract/opp/ed7cc4c564df483fb14c753d4835c202/view</t>
        </is>
      </c>
      <c r="E43" s="2" t="inlineStr">
        <is>
          <t>Combined Synopsis/Solicitation</t>
        </is>
      </c>
      <c r="F43" s="2" t="inlineStr">
        <is>
          <t>2023-08-16</t>
        </is>
      </c>
      <c r="G43" s="2" t="inlineStr">
        <is>
          <t>2023-08-25</t>
        </is>
      </c>
      <c r="H43" s="2" t="inlineStr">
        <is>
          <t>DEPT OF DEFENSE</t>
        </is>
      </c>
      <c r="I43" s="2" t="inlineStr">
        <is>
          <t>DEPT OF THE ARMY</t>
        </is>
      </c>
      <c r="J43" s="2" t="inlineStr">
        <is>
          <t>W072 ENDIST CHICAGO</t>
        </is>
      </c>
      <c r="K43" s="2" t="inlineStr">
        <is>
          <t>BARGE AND TOW SERVICES FOR SAFETY TESTING AT THE CHICAGO SANITARY AND SHIP CANAL (CSSC) FISH BARRIERS, WILL COUNTY, ILLINOIS</t>
        </is>
      </c>
      <c r="L43" s="2" t="inlineStr">
        <is>
          <t>************AMENDMENT 0001 Posted***************** THERE IS A FORTHCOMING AMENDMENT THAT WILL BE POSTED TODAY TO EXTEND THE DUE DATE UNTIL FRIDAY, AUGUST 25, 2023 AT 9:00AM CT. THE SCOPE AND PRICE BREAKOUT SCHEDULE HAVE BEEN REVISED AS WELL This is a combined Synopsis/Solicitation Notice for commercial items issued pursuant to FAR Subpart 12. Under this notice, the U.S. Army Corps of Engineers, Chicago District (USACE) is issuing a Request for Quotations (RFQ) for: BARGE AND TOW SERVICES FOR SAFETY TESTING AT THE CHICAGO SANITARY AND SHIP CANAL (CSSC) FISH BARRIERS, WILL COUNTY, ILLINOIS. Competition for this acquisition is FULL AND OPEN, UNRESTRICTED TO BUSINESS SIZE. AN OFFEROR MUST HAVE AN ACTIVE REGISTRATION IN THE SYSTEM FOR AWARD MANAGEMENT WHEN PLACING AN OFFER/QUOTATION PACKAGE FOR THIS ACQUISITION. REGISTRATION CAN BE COMPLETED FREE OF CHARGE AT www.sam.gov. The applicable Size Standard is North American Industry Classification System (NAICS) Code 483211 with a Small Business size standard of 1,050 EMPLOYEES. SUBMITTAL DUE DATE AND TIME: The Contractor submittal packages must be received by the USACE-Chicago District Office no later than 1:00 p.m. (Central Time) on August 23, 2023. Please reference the subject solicitation number on all correspondence. IMPORTANT NOTE: IN THE CASE OF A DISCREPANCY BETWEEN THE DATES PUBLISHED IN THIS NOTICE AND THOSE CALLED OUT IN THE ATTACHED RFQ DOCUMENT, THE DATES IN THE RFQ DOCUMENT OVERRIDES THOSE PUBLISHED HEREIN THIS NOTICE; THIS IS RELATIVE TO THE RFQ ISSUANCE DATE AND THE DUE DATE FOR SUBMITTAL PACKAGES. This solicitation is only available at this website. The associated project files are Portable Document Format (PDF) files and can be viewed, navigated, or printed using Adobe Acrobat Reader. The point of contact for thi</t>
        </is>
      </c>
      <c r="M43" s="2" t="inlineStr">
        <is>
          <t>483211</t>
        </is>
      </c>
      <c r="N43" s="2" t="inlineStr">
        <is>
          <t>1990</t>
        </is>
      </c>
      <c r="O43" s="2" t="inlineStr"/>
      <c r="P43" s="2" t="inlineStr">
        <is>
          <t>Unknown pre-award; historical award retained only as answer key when mapped</t>
        </is>
      </c>
      <c r="Q43" s="2" t="inlineStr">
        <is>
          <t>Excluded or control category</t>
        </is>
      </c>
      <c r="R43" s="2" t="inlineStr">
        <is>
          <t>MRO tools and commercial hardware</t>
        </is>
      </c>
      <c r="S43" s="2" t="inlineStr">
        <is>
          <t>Romeoville, IL, USA</t>
        </is>
      </c>
      <c r="T43" s="2" t="inlineStr">
        <is>
          <t>Romeoville, IL, USA</t>
        </is>
      </c>
      <c r="U43" s="2" t="inlineStr">
        <is>
          <t>Direct notice/resource lookup required</t>
        </is>
      </c>
      <c r="V43" s="2" t="inlineStr">
        <is>
          <t>Yes — 4 notice version(s)</t>
        </is>
      </c>
      <c r="W43" s="2" t="inlineStr">
        <is>
          <t>Unknown — archive retrieval required</t>
        </is>
      </c>
      <c r="X43" s="2" t="inlineStr">
        <is>
          <t>Mapped from 2023-2025 award index</t>
        </is>
      </c>
      <c r="Y43" s="2" t="inlineStr">
        <is>
          <t>https://sam.gov/workspace/contract/opp/e6c558f4e7554fccbffa41ed76885776/view</t>
        </is>
      </c>
      <c r="Z43" s="2" t="inlineStr">
        <is>
          <t>Illinois &amp; Michigan Oil LLC Joliet IL USA</t>
        </is>
      </c>
      <c r="AA43" s="2" t="inlineStr">
        <is>
          <t>74488.00</t>
        </is>
      </c>
      <c r="AB43" s="2" t="inlineStr">
        <is>
          <t>Award Notice</t>
        </is>
      </c>
      <c r="AC43" s="2" t="inlineStr">
        <is>
          <t>No parent vehicle indicated at solicitation intake; verify clauses</t>
        </is>
      </c>
      <c r="AD43" s="2" t="inlineStr">
        <is>
          <t>Potentially yes — direct solicitation or combined notice</t>
        </is>
      </c>
      <c r="AE43" s="2" t="inlineStr">
        <is>
          <t>No evidence in metadata; verify solicitation</t>
        </is>
      </c>
      <c r="AF43" s="2" t="inlineStr">
        <is>
          <t>Potentially yes — subject to historical SAM registration and representations</t>
        </is>
      </c>
      <c r="AG43" s="2" t="inlineStr">
        <is>
          <t>No conflict detected in metadata; exact product review required</t>
        </is>
      </c>
      <c r="AH43" s="2" t="inlineStr">
        <is>
          <t>Exact product/NSN review required</t>
        </is>
      </c>
      <c r="AI43" s="2" t="inlineStr">
        <is>
          <t>Rental / lease</t>
        </is>
      </c>
      <c r="AJ43" s="2" t="inlineStr">
        <is>
          <t>Promising metadata; archive requirements review required</t>
        </is>
      </c>
      <c r="AK43" s="2" t="inlineStr">
        <is>
          <t>Unknown — never infer from award amount</t>
        </is>
      </c>
      <c r="AL43" s="2" t="inlineStr">
        <is>
          <t>Not modeled before archive and supplier-pricing gates</t>
        </is>
      </c>
      <c r="AM43" s="2" t="inlineStr">
        <is>
          <t>Unclassified pending requirements and sourcing</t>
        </is>
      </c>
      <c r="AN43" s="2" t="inlineStr">
        <is>
          <t>Not modeled before supplier pricing</t>
        </is>
      </c>
      <c r="AO43" s="2" t="inlineStr">
        <is>
          <t>90</t>
        </is>
      </c>
      <c r="AP43" s="2" t="inlineStr">
        <is>
          <t>0</t>
        </is>
      </c>
      <c r="AQ43" s="2" t="inlineStr">
        <is>
          <t>Strikeout</t>
        </is>
      </c>
      <c r="AR43" s="2" t="inlineStr">
        <is>
          <t>Gate 6 — product/service exclusion</t>
        </is>
      </c>
      <c r="AS43" s="2" t="inlineStr">
        <is>
          <t>NO-BID / CONTROL</t>
        </is>
      </c>
      <c r="AT43" s="2" t="inlineStr">
        <is>
          <t>Moderate — official extract metadata; direct archive review pending</t>
        </is>
      </c>
      <c r="AU43" s="2" t="inlineStr">
        <is>
          <t>Selection role: Target-lane candidate. Solicitation family contains 4 notice version(s): 6270751d2bbc4ece982239ca9b4d22c4; 9a0c224183e744889419c62a68ea7f9e; dcb2734553864ae0897094f844040e35; ed7cc4c564df483fb14c753d4835c202. Representative notice chosen by detail score, not outcome. Historical award mapping did not control selection.</t>
        </is>
      </c>
      <c r="AV43" s="2" t="inlineStr">
        <is>
          <t>68430</t>
        </is>
      </c>
    </row>
    <row r="44">
      <c r="A44" s="2" t="inlineStr">
        <is>
          <t>HOS01-043</t>
        </is>
      </c>
      <c r="B44" s="2" t="inlineStr">
        <is>
          <t>289b13d823584dc1a618efcb43b6b838</t>
        </is>
      </c>
      <c r="C44" s="2" t="inlineStr">
        <is>
          <t>W912P623B0015</t>
        </is>
      </c>
      <c r="D44" s="2" t="inlineStr">
        <is>
          <t>https://sam.gov/workspace/contract/opp/289b13d823584dc1a618efcb43b6b838/view</t>
        </is>
      </c>
      <c r="E44" s="2" t="inlineStr">
        <is>
          <t>Solicitation</t>
        </is>
      </c>
      <c r="F44" s="2" t="inlineStr">
        <is>
          <t>2023-10-18</t>
        </is>
      </c>
      <c r="G44" s="2" t="inlineStr">
        <is>
          <t>2023-11-28</t>
        </is>
      </c>
      <c r="H44" s="2" t="inlineStr">
        <is>
          <t>DEPT OF DEFENSE</t>
        </is>
      </c>
      <c r="I44" s="2" t="inlineStr">
        <is>
          <t>DEPT OF THE ARMY</t>
        </is>
      </c>
      <c r="J44" s="2" t="inlineStr">
        <is>
          <t>W072 ENDIST CHICAGO</t>
        </is>
      </c>
      <c r="K44" s="2" t="inlineStr">
        <is>
          <t>CITY OF PORTAGE SEWER INCEPTOR REHABILITATION, PHASE 2 - SECTION 219, PORTAGE, PORTER COUNTY, INDIANA (USACE ACQUISITION)</t>
        </is>
      </c>
      <c r="L44" s="2" t="inlineStr">
        <is>
          <t xml:space="preserve">EFFECTIVE NOVEMBER 28, 2023: The government has attached the Bid Opening Results (please refer to the"Attachments" Section of this Notice). **************************************************************************************************************************************************** EFFECTIVE NOVEMBER 21, 2023: The government has posted Amendment No. 0003 hereunder this Notice (please refer to the Attachments Section). ****************************************************************************************************************************************************** EFFECTIVE NOVEMBER 20, 2023: The government has posted Amendment No. 0002 hereunder this Notice (please refer to the Attachments Section). ****************************************************************************************************************************************************** VIRTUAL BID OPENING INFORMATION: THE VIRTUAL BID OPENING WILL BE CONDUCTED ON NOVEMBER 28, 2023 AT 2:00 P.M. (CENTRAL TIME). AT THE DESIGNATED DAY AND TIME, PLEASE JOIN BY: MEETING LINK: https://usace1.webex.com/usace1/j.php?MTID=mcb842215bd8119a33e48713f382efb71 Meeting number (access code): 2762 744 0416 Meeting password: j3KA24UPMA$ OR, JOIN BY PHONE: 1-844-800-2712 US Toll Free 1-669-234-1177 US Toll Access code: 2762 744 0416 Conf ID: press the # sign **************************************************************************************************************************************************** EFFECTIVE NOVEMBER 16, 2023: The government has posted Amendment No. 0001 hereunder this Notice (please refer to the Attachments Section). ****************************************************************************************************************************************************** PLEASE NOTE: Please be advised </t>
        </is>
      </c>
      <c r="M44" s="2" t="inlineStr">
        <is>
          <t>237110</t>
        </is>
      </c>
      <c r="N44" s="2" t="inlineStr">
        <is>
          <t>Y1ND</t>
        </is>
      </c>
      <c r="O44" s="2" t="inlineStr">
        <is>
          <t>Total Small Business Set-Aside (FAR 19.5)</t>
        </is>
      </c>
      <c r="P44" s="2" t="inlineStr">
        <is>
          <t>Unknown pre-award; historical award retained only as answer key when mapped</t>
        </is>
      </c>
      <c r="Q44" s="2" t="inlineStr">
        <is>
          <t>Excluded or control category</t>
        </is>
      </c>
      <c r="R44" s="2" t="inlineStr">
        <is>
          <t>MRO tools and commercial hardware</t>
        </is>
      </c>
      <c r="S44" s="2" t="inlineStr">
        <is>
          <t>Portage, IN, USA</t>
        </is>
      </c>
      <c r="T44" s="2" t="inlineStr">
        <is>
          <t>Portage, IN, USA</t>
        </is>
      </c>
      <c r="U44" s="2" t="inlineStr">
        <is>
          <t>Direct notice/resource lookup required</t>
        </is>
      </c>
      <c r="V44" s="2" t="inlineStr">
        <is>
          <t>Yes — 8 notice version(s)</t>
        </is>
      </c>
      <c r="W44" s="2" t="inlineStr">
        <is>
          <t>Unknown — archive retrieval required</t>
        </is>
      </c>
      <c r="X44" s="2" t="inlineStr">
        <is>
          <t>Mapped from 2023-2025 award index</t>
        </is>
      </c>
      <c r="Y44" s="2" t="inlineStr">
        <is>
          <t>https://sam.gov/workspace/contract/opp/3e3196462b564c5a8b9b9dfe0dd8848d/view</t>
        </is>
      </c>
      <c r="Z44" s="2" t="inlineStr">
        <is>
          <t>Grimmer Construction Inc Highland IN USA</t>
        </is>
      </c>
      <c r="AA44" s="2" t="inlineStr">
        <is>
          <t>2420827.00</t>
        </is>
      </c>
      <c r="AB44" s="2" t="inlineStr">
        <is>
          <t>Award Notice</t>
        </is>
      </c>
      <c r="AC44" s="2" t="inlineStr">
        <is>
          <t>No parent vehicle indicated at solicitation intake; verify clauses</t>
        </is>
      </c>
      <c r="AD44" s="2" t="inlineStr">
        <is>
          <t>Potentially yes — direct solicitation or combined notice</t>
        </is>
      </c>
      <c r="AE44" s="2" t="inlineStr">
        <is>
          <t>No evidence in metadata; verify solicitation</t>
        </is>
      </c>
      <c r="AF44" s="2" t="inlineStr">
        <is>
          <t>Potentially yes — subject to historical SAM registration and representations</t>
        </is>
      </c>
      <c r="AG44" s="2" t="inlineStr">
        <is>
          <t>No conflict detected in metadata; exact product review required</t>
        </is>
      </c>
      <c r="AH44" s="2" t="inlineStr">
        <is>
          <t>Exact product/NSN review required</t>
        </is>
      </c>
      <c r="AI44" s="2" t="inlineStr">
        <is>
          <t>Construction / installation / repair / field service</t>
        </is>
      </c>
      <c r="AJ44" s="2" t="inlineStr">
        <is>
          <t>Promising metadata; archive requirements review required</t>
        </is>
      </c>
      <c r="AK44" s="2" t="inlineStr">
        <is>
          <t>Unknown — never infer from award amount</t>
        </is>
      </c>
      <c r="AL44" s="2" t="inlineStr">
        <is>
          <t>Not modeled before archive and supplier-pricing gates</t>
        </is>
      </c>
      <c r="AM44" s="2" t="inlineStr">
        <is>
          <t>Unclassified pending requirements and sourcing</t>
        </is>
      </c>
      <c r="AN44" s="2" t="inlineStr">
        <is>
          <t>Not modeled before supplier pricing</t>
        </is>
      </c>
      <c r="AO44" s="2" t="inlineStr">
        <is>
          <t>90</t>
        </is>
      </c>
      <c r="AP44" s="2" t="inlineStr">
        <is>
          <t>0</t>
        </is>
      </c>
      <c r="AQ44" s="2" t="inlineStr">
        <is>
          <t>Strikeout</t>
        </is>
      </c>
      <c r="AR44" s="2" t="inlineStr">
        <is>
          <t>Gate 6 — product/service exclusion</t>
        </is>
      </c>
      <c r="AS44" s="2" t="inlineStr">
        <is>
          <t>NO-BID / CONTROL</t>
        </is>
      </c>
      <c r="AT44" s="2" t="inlineStr">
        <is>
          <t>Moderate — official extract metadata; direct archive review pending</t>
        </is>
      </c>
      <c r="AU44" s="2" t="inlineStr">
        <is>
          <t>Selection role: Target-lane candidate. Solicitation family contains 8 notice version(s): 04ab1234e2b3431b8b539fab6e7badf1; 5942cfcf3f554f03929803cfbf06b3cc; 10d205dcd500439db6859d9823cab31b; e7682e8c45084b4784c3c295509a52a0; a89b53dca9c141fb92324a870a97ba55; 925f6701055b46f38f929bbbc8b2eac9; 87d10a161eaf4076ad805a7b66b92db9; 289b13d823584dc1a618efcb43b6b838. Representative notice chosen by detail score, not outcome. Historical award mapping did not control selection.</t>
        </is>
      </c>
      <c r="AV44" s="2" t="inlineStr">
        <is>
          <t>67806</t>
        </is>
      </c>
    </row>
    <row r="45">
      <c r="A45" s="2" t="inlineStr">
        <is>
          <t>HOS01-044</t>
        </is>
      </c>
      <c r="B45" s="2" t="inlineStr">
        <is>
          <t>0bc5121477ab4b458272877609ea111e</t>
        </is>
      </c>
      <c r="C45" s="2" t="inlineStr">
        <is>
          <t>W912P624B0017</t>
        </is>
      </c>
      <c r="D45" s="2" t="inlineStr">
        <is>
          <t>https://sam.gov/workspace/contract/opp/0bc5121477ab4b458272877609ea111e/view</t>
        </is>
      </c>
      <c r="E45" s="2" t="inlineStr">
        <is>
          <t>Solicitation</t>
        </is>
      </c>
      <c r="F45" s="2" t="inlineStr">
        <is>
          <t>2024-10-16</t>
        </is>
      </c>
      <c r="G45" s="2" t="inlineStr">
        <is>
          <t>2024-11-25</t>
        </is>
      </c>
      <c r="H45" s="2" t="inlineStr">
        <is>
          <t>DEPT OF DEFENSE</t>
        </is>
      </c>
      <c r="I45" s="2" t="inlineStr">
        <is>
          <t>DEPT OF THE ARMY</t>
        </is>
      </c>
      <c r="J45" s="2" t="inlineStr">
        <is>
          <t>W072 ENDIST CHICAGO</t>
        </is>
      </c>
      <c r="K45" s="2" t="inlineStr">
        <is>
          <t>VILLAGE OF MATTESON WATER MAIN REPLACEMENT PHASE II, MATTESON, COOK COUNTY, ILLINOIS (USACE ACQUISITION)</t>
        </is>
      </c>
      <c r="L45" s="2" t="inlineStr">
        <is>
          <t xml:space="preserve">EFFECTIVE NOVEMBER 25, 2024: The government has attached the Bid Opening Results (please refer to the Attachments Section of this Notice). **************************************************************************************************************************************************** VIRTUAL BID OPENING INFORMATION: THE VIRTUAL BID OPENING WILL BE CONDUCTED ON NOVEMBER 25, 2024 AT 2:00 P.M. (CENTRAL TIME). AT THE DESIGNATED DAY AND TIME, PLEASE JOIN BY: MEETING LINK: https://usace1.webex.com/usace1/j.php?MTID=m6801cdd50632ecfa5f1fca96a4b5f475 Meeting number (access code): 2821 710 9840 Meeting Password: KYcnxhb$534 OR, JOIN BY PHONE: 1-844-800-2712 US Toll Free 1-669-234-1177 US Toll Access code: 2821 710 9840 Conf ID: press the # sign **************************************************************************************************************************************************** EFFECTIVE NOVEMBER 13, 2024: The government has posted Amendment No. 0001 hereunder this Notice (please refer to the Attachments Section). ** Under this Solicitation Notice, the United States Army Corps of Engineers - Chicago District issues Solicitation No. W912P624B0017 for bidding purposes. Therefore, provided hereunder is the relevant bid package for its construction project entitled, Village of Matteson Water Main Replacement Phase II, Matteson, Cook County, Illinois (USACE Acquisition). PROJECT INFORMATION: The project work involves the replacement of a watermain. The base work includes installing approximately 1,050 linear feet of new 8-inch Ductile Iron watermain by open-cut excavation. Work will also include storm sewer replacement and installation of residential services, valves, and associated asphalt and paving restoration and replacement of storm sewers. Option No. 1 includes </t>
        </is>
      </c>
      <c r="M45" s="2" t="inlineStr">
        <is>
          <t>237110</t>
        </is>
      </c>
      <c r="N45" s="2" t="inlineStr">
        <is>
          <t>Y1PZ</t>
        </is>
      </c>
      <c r="O45" s="2" t="inlineStr">
        <is>
          <t>Total Small Business Set-Aside (FAR 19.5)</t>
        </is>
      </c>
      <c r="P45" s="2" t="inlineStr">
        <is>
          <t>Unknown pre-award; historical award retained only as answer key when mapped</t>
        </is>
      </c>
      <c r="Q45" s="2" t="inlineStr">
        <is>
          <t>Excluded or control category</t>
        </is>
      </c>
      <c r="R45" s="2" t="inlineStr">
        <is>
          <t>MRO tools and commercial hardware</t>
        </is>
      </c>
      <c r="S45" s="2" t="inlineStr"/>
      <c r="T45" s="2" t="inlineStr">
        <is>
          <t>Archive review required</t>
        </is>
      </c>
      <c r="U45" s="2" t="inlineStr">
        <is>
          <t>Direct notice/resource lookup required</t>
        </is>
      </c>
      <c r="V45" s="2" t="inlineStr">
        <is>
          <t>Yes — 4 notice version(s)</t>
        </is>
      </c>
      <c r="W45" s="2" t="inlineStr">
        <is>
          <t>Unknown — archive retrieval required</t>
        </is>
      </c>
      <c r="X45" s="2" t="inlineStr">
        <is>
          <t>Mapped from 2023-2025 award index</t>
        </is>
      </c>
      <c r="Y45" s="2" t="inlineStr">
        <is>
          <t>https://sam.gov/workspace/contract/opp/0bc5121477ab4b458272877609ea111e/view</t>
        </is>
      </c>
      <c r="Z45" s="2" t="inlineStr"/>
      <c r="AA45" s="2" t="inlineStr"/>
      <c r="AB45" s="2" t="inlineStr">
        <is>
          <t>Solicitation</t>
        </is>
      </c>
      <c r="AC45" s="2" t="inlineStr">
        <is>
          <t>No parent vehicle indicated at solicitation intake; verify clauses</t>
        </is>
      </c>
      <c r="AD45" s="2" t="inlineStr">
        <is>
          <t>Potentially yes — direct solicitation or combined notice</t>
        </is>
      </c>
      <c r="AE45" s="2" t="inlineStr">
        <is>
          <t>No evidence in metadata; verify solicitation</t>
        </is>
      </c>
      <c r="AF45" s="2" t="inlineStr">
        <is>
          <t>Potentially yes — subject to historical SAM registration and representations</t>
        </is>
      </c>
      <c r="AG45" s="2" t="inlineStr">
        <is>
          <t>No conflict detected in metadata; exact product review required</t>
        </is>
      </c>
      <c r="AH45" s="2" t="inlineStr">
        <is>
          <t>Exact product/NSN review required</t>
        </is>
      </c>
      <c r="AI45" s="2" t="inlineStr">
        <is>
          <t>Construction / installation / repair / field service</t>
        </is>
      </c>
      <c r="AJ45" s="2" t="inlineStr">
        <is>
          <t>Promising metadata; archive requirements review required</t>
        </is>
      </c>
      <c r="AK45" s="2" t="inlineStr">
        <is>
          <t>Unknown — never infer from award amount</t>
        </is>
      </c>
      <c r="AL45" s="2" t="inlineStr">
        <is>
          <t>Not modeled before archive and supplier-pricing gates</t>
        </is>
      </c>
      <c r="AM45" s="2" t="inlineStr">
        <is>
          <t>Unclassified pending requirements and sourcing</t>
        </is>
      </c>
      <c r="AN45" s="2" t="inlineStr">
        <is>
          <t>Not modeled before supplier pricing</t>
        </is>
      </c>
      <c r="AO45" s="2" t="inlineStr">
        <is>
          <t>90</t>
        </is>
      </c>
      <c r="AP45" s="2" t="inlineStr">
        <is>
          <t>0</t>
        </is>
      </c>
      <c r="AQ45" s="2" t="inlineStr">
        <is>
          <t>Strikeout</t>
        </is>
      </c>
      <c r="AR45" s="2" t="inlineStr">
        <is>
          <t>Gate 6 — product/service exclusion</t>
        </is>
      </c>
      <c r="AS45" s="2" t="inlineStr">
        <is>
          <t>NO-BID / CONTROL</t>
        </is>
      </c>
      <c r="AT45" s="2" t="inlineStr">
        <is>
          <t>Moderate — official extract metadata; direct archive review pending</t>
        </is>
      </c>
      <c r="AU45" s="2" t="inlineStr">
        <is>
          <t>Selection role: Target-lane candidate. Solicitation family contains 4 notice version(s): d626287c0398499f8d6fcd976ddeee13; fef0379b7efe432ca4c63cc6ef6abe38; b112fa18e97145c9a6066af1db8c7c80; 0bc5121477ab4b458272877609ea111e. Representative notice chosen by detail score, not outcome. Historical award mapping did not control selection.</t>
        </is>
      </c>
      <c r="AV45" s="2" t="inlineStr">
        <is>
          <t>64739</t>
        </is>
      </c>
    </row>
    <row r="46">
      <c r="A46" s="2" t="inlineStr">
        <is>
          <t>HOS01-045</t>
        </is>
      </c>
      <c r="B46" s="2" t="inlineStr">
        <is>
          <t>4b204071bf17431cb02d20843b67b3a7</t>
        </is>
      </c>
      <c r="C46" s="2" t="inlineStr">
        <is>
          <t>W912P624B0016</t>
        </is>
      </c>
      <c r="D46" s="2" t="inlineStr">
        <is>
          <t>https://sam.gov/workspace/contract/opp/4b204071bf17431cb02d20843b67b3a7/view</t>
        </is>
      </c>
      <c r="E46" s="2" t="inlineStr">
        <is>
          <t>Solicitation</t>
        </is>
      </c>
      <c r="F46" s="2" t="inlineStr">
        <is>
          <t>2024-08-19</t>
        </is>
      </c>
      <c r="G46" s="2" t="inlineStr">
        <is>
          <t>2024-09-19</t>
        </is>
      </c>
      <c r="H46" s="2" t="inlineStr">
        <is>
          <t>DEPT OF DEFENSE</t>
        </is>
      </c>
      <c r="I46" s="2" t="inlineStr">
        <is>
          <t>DEPT OF THE ARMY</t>
        </is>
      </c>
      <c r="J46" s="2" t="inlineStr">
        <is>
          <t>W072 ENDIST CHICAGO</t>
        </is>
      </c>
      <c r="K46" s="2" t="inlineStr">
        <is>
          <t>SOLICITATION W912P624B0016 VILLAGE OF EAST HAZEL CREST STORMWATER IMPROVEMENTS, EAST HAZEL CREST, COOK COUNTY, ILLINOIS (USACE ACQUISITION)</t>
        </is>
      </c>
      <c r="L46" s="2" t="inlineStr">
        <is>
          <t>VIRTUAL BID OPENING INFORMATION: THE VIRTUAL BID OPENING WILL BE CONDUCTED ON SEPTEMBER 19, 2024 AT 1:00 P.M. (CENTRAL TIME). AT THE DESIGNATED DAY AND TIME, PLEASE JOIN BY: MEETING LINK: https://usace1.webex.com/usace1/j.php?MTID=m1ee4740fe1bc0ee92fb1a1d74e986f25 Meeting number (access code): 2829 578 2082 Meeting Password: hUJw2VPh@43 OR, JOIN BY PHONE: 1-844-800-2712 US Toll Free 1-669-234-1177 US Toll Access code: 2829 578 2082 Conf ID: press the # sign ***************************************************************************************************************************************************** EFFECTIVE SEPTEMBER 16, 2024: The government has posted Amendment No. 0002 hereunder this Notice (please refer to the Attachments Section). ** EFFECTIVE AUGUST 20, 2024: The government has posted Amendment No. 0001 hereunder this Notice (please refer to the Attachments Section). ** Under this Solicitation, the United States Army Corps of Engineers - Chicago District issues Solicitation No. W912P624B0016 for bidding purposes. Therefore, provided hereunder is the relevant bid package for its construction project entitled, Village of East Hazel Crest Stormwater Improvements, East Hazel Crest, Cook County, Illinois (USACE Acquisition). PROJECT INFORMATION: The project work includes the replacement of earthen drainage ditches with underground concrete box culverts. The Base work includes the installation of 417 linear feet of 4 feet x 2 feet concrete box culvert. Option 1 includes installing 229 linear feet of 4 feet x 2 feet concrete box culvert and 130 linear feet of 6 feet x 2 feet box culvert. Option 2 includes the installation of 646 linear feet of 6 feet x 2 feet concrete box culvert. CONTRACTING OFFICE: USACE Chicago District, 231 SOUTH LaSALLE STREET, SUITE 1500, Chi</t>
        </is>
      </c>
      <c r="M46" s="2" t="inlineStr">
        <is>
          <t>237110</t>
        </is>
      </c>
      <c r="N46" s="2" t="inlineStr">
        <is>
          <t>Y1PZ</t>
        </is>
      </c>
      <c r="O46" s="2" t="inlineStr">
        <is>
          <t>Total Small Business Set-Aside (FAR 19.5)</t>
        </is>
      </c>
      <c r="P46" s="2" t="inlineStr">
        <is>
          <t>Unknown pre-award; historical award retained only as answer key when mapped</t>
        </is>
      </c>
      <c r="Q46" s="2" t="inlineStr">
        <is>
          <t>Excluded or control category</t>
        </is>
      </c>
      <c r="R46" s="2" t="inlineStr">
        <is>
          <t>MRO tools and commercial hardware</t>
        </is>
      </c>
      <c r="S46" s="2" t="inlineStr"/>
      <c r="T46" s="2" t="inlineStr">
        <is>
          <t>Archive review required</t>
        </is>
      </c>
      <c r="U46" s="2" t="inlineStr">
        <is>
          <t>Direct notice/resource lookup required</t>
        </is>
      </c>
      <c r="V46" s="2" t="inlineStr">
        <is>
          <t>Yes — 4 notice version(s)</t>
        </is>
      </c>
      <c r="W46" s="2" t="inlineStr">
        <is>
          <t>Unknown — archive retrieval required</t>
        </is>
      </c>
      <c r="X46" s="2" t="inlineStr">
        <is>
          <t>Mapped from 2023-2025 award index</t>
        </is>
      </c>
      <c r="Y46" s="2" t="inlineStr">
        <is>
          <t>https://sam.gov/workspace/contract/opp/4b204071bf17431cb02d20843b67b3a7/view</t>
        </is>
      </c>
      <c r="Z46" s="2" t="inlineStr"/>
      <c r="AA46" s="2" t="inlineStr"/>
      <c r="AB46" s="2" t="inlineStr">
        <is>
          <t>Solicitation</t>
        </is>
      </c>
      <c r="AC46" s="2" t="inlineStr">
        <is>
          <t>No parent vehicle indicated at solicitation intake; verify clauses</t>
        </is>
      </c>
      <c r="AD46" s="2" t="inlineStr">
        <is>
          <t>Potentially yes — direct solicitation or combined notice</t>
        </is>
      </c>
      <c r="AE46" s="2" t="inlineStr">
        <is>
          <t>No evidence in metadata; verify solicitation</t>
        </is>
      </c>
      <c r="AF46" s="2" t="inlineStr">
        <is>
          <t>Potentially yes — subject to historical SAM registration and representations</t>
        </is>
      </c>
      <c r="AG46" s="2" t="inlineStr">
        <is>
          <t>No conflict detected in metadata; exact product review required</t>
        </is>
      </c>
      <c r="AH46" s="2" t="inlineStr">
        <is>
          <t>Exact product/NSN review required</t>
        </is>
      </c>
      <c r="AI46" s="2" t="inlineStr">
        <is>
          <t>Construction / installation / repair / field service</t>
        </is>
      </c>
      <c r="AJ46" s="2" t="inlineStr">
        <is>
          <t>Promising metadata; archive requirements review required</t>
        </is>
      </c>
      <c r="AK46" s="2" t="inlineStr">
        <is>
          <t>Unknown — never infer from award amount</t>
        </is>
      </c>
      <c r="AL46" s="2" t="inlineStr">
        <is>
          <t>Not modeled before archive and supplier-pricing gates</t>
        </is>
      </c>
      <c r="AM46" s="2" t="inlineStr">
        <is>
          <t>Unclassified pending requirements and sourcing</t>
        </is>
      </c>
      <c r="AN46" s="2" t="inlineStr">
        <is>
          <t>Not modeled before supplier pricing</t>
        </is>
      </c>
      <c r="AO46" s="2" t="inlineStr">
        <is>
          <t>90</t>
        </is>
      </c>
      <c r="AP46" s="2" t="inlineStr">
        <is>
          <t>0</t>
        </is>
      </c>
      <c r="AQ46" s="2" t="inlineStr">
        <is>
          <t>Strikeout</t>
        </is>
      </c>
      <c r="AR46" s="2" t="inlineStr">
        <is>
          <t>Gate 6 — product/service exclusion</t>
        </is>
      </c>
      <c r="AS46" s="2" t="inlineStr">
        <is>
          <t>NO-BID / CONTROL</t>
        </is>
      </c>
      <c r="AT46" s="2" t="inlineStr">
        <is>
          <t>Moderate — official extract metadata; direct archive review pending</t>
        </is>
      </c>
      <c r="AU46" s="2" t="inlineStr">
        <is>
          <t>Selection role: Target-lane candidate. Solicitation family contains 4 notice version(s): 67cabfec26594f99a0b9fa5b2a00ce85; b5b32ef39cee4effb6b0f4bbb59a42b4; 6a3761fa707a47659ee8506a8357e450; 4b204071bf17431cb02d20843b67b3a7. Representative notice chosen by detail score, not outcome. Historical award mapping did not control selection.</t>
        </is>
      </c>
      <c r="AV46" s="2" t="inlineStr">
        <is>
          <t>65435</t>
        </is>
      </c>
    </row>
    <row r="47">
      <c r="A47" s="2" t="inlineStr">
        <is>
          <t>HOS01-046</t>
        </is>
      </c>
      <c r="B47" s="2" t="inlineStr">
        <is>
          <t>4ef5ad3d1eb049ad9d93fe98d6fa2022</t>
        </is>
      </c>
      <c r="C47" s="2" t="inlineStr">
        <is>
          <t>W912P624Q0024</t>
        </is>
      </c>
      <c r="D47" s="2" t="inlineStr">
        <is>
          <t>https://sam.gov/workspace/contract/opp/4ef5ad3d1eb049ad9d93fe98d6fa2022/view</t>
        </is>
      </c>
      <c r="E47" s="2" t="inlineStr">
        <is>
          <t>Combined Synopsis/Solicitation</t>
        </is>
      </c>
      <c r="F47" s="2" t="inlineStr">
        <is>
          <t>2024-05-14</t>
        </is>
      </c>
      <c r="G47" s="2" t="inlineStr">
        <is>
          <t>2024-05-28</t>
        </is>
      </c>
      <c r="H47" s="2" t="inlineStr">
        <is>
          <t>DEPT OF DEFENSE</t>
        </is>
      </c>
      <c r="I47" s="2" t="inlineStr">
        <is>
          <t>DEPT OF THE ARMY</t>
        </is>
      </c>
      <c r="J47" s="2" t="inlineStr">
        <is>
          <t>W072 ENDIST CHICAGO</t>
        </is>
      </c>
      <c r="K47" s="2" t="inlineStr">
        <is>
          <t>UNDER BRIDGE INSPECTION ACCESS EQUIPMENT RENTAL</t>
        </is>
      </c>
      <c r="L47" s="2" t="inlineStr">
        <is>
          <t>The time in PIEE and SAM are corrected to match the time in the solicitation form. This is a combined Synopsis/Solicitation Notice for commercial items issued pursuant to FAR Subpart 12. Under this notice, the U.S. Army Corps of Engineers, Chicago District (USACE) is issuing a Request for Quotations (RFQ) for: UNDER BRIDGE INSPECTION ACCESS EQUIPMENT RENTAL; LOCKPORT LOCK BRIDGE INSPECTION, LOCKPORT, WILL COUNTY, ILLINOIS, AND J EDWARD ROUSH LAKE BRIDGE INSPECTION, HUNTINGTON, HUNTINGTON COUNTY, INDIANA. Competition for this acquisition is RESTRICTED TO SMALL BUSINESSES. AN OFFEROR MUST HAVE AN ACTIVE REGISTRATION IN THE SYSTEM FORAWARD MANAGEMENT WHEN PLACING AN OFFER/QUOTATION PACKAGE FORTHIS ACQUISITION. REGISTRATION CAN BE COMPLETED FREE OF CHARGE ATwww.sam.gov. The applicable Size Standard is North American Industry Classification System (NAICS) Code 532490 with a Small Business size standard of $40.0 Million. SUBMITTAL DUE DATE AND TIME: The Contractor submittal packages must be received by the USACE Chicago District Office no later than 3:30 p.m. (Central Time) on May 28, 2024. Please reference the subject solicitation number on all correspondence. IMPORTANT NOTE: IN THE CASE OF A DISCREPANCY BETWEEN THE DATES PUBLISHED IN THIS NOTICE AND THOSE CALLED OUT IN THE ATTACHED RFQ DOCUMENT, THEDATES IN THE RFQ DOCUMENT OVERRIDES THOSE PUBLISHED HEREIN THIS NOTICE; THIS IS RELATIVE TO THE RFQ ISSUANCE DATE AND THE DUE DATE FOR SUBMITTAL PACKAGES. This solicitation is only available at this website. The associated project files are Portable Document Format (PDF) files and can be viewed, navigated, or printed using Adobe Acrobat Reader. The point of contact for this acquisition is Ericka Hillard at ericka.d.hillard@usace.army.mil. **Please include Solicitation Number W912</t>
        </is>
      </c>
      <c r="M47" s="2" t="inlineStr">
        <is>
          <t>532490</t>
        </is>
      </c>
      <c r="N47" s="2" t="inlineStr">
        <is>
          <t>W038</t>
        </is>
      </c>
      <c r="O47" s="2" t="inlineStr"/>
      <c r="P47" s="2" t="inlineStr">
        <is>
          <t>Unknown pre-award; historical award retained only as answer key when mapped</t>
        </is>
      </c>
      <c r="Q47" s="2" t="inlineStr">
        <is>
          <t>Excluded or control category</t>
        </is>
      </c>
      <c r="R47" s="2" t="inlineStr">
        <is>
          <t>MRO tools and commercial hardware</t>
        </is>
      </c>
      <c r="S47" s="2" t="inlineStr"/>
      <c r="T47" s="2" t="inlineStr">
        <is>
          <t>Archive review required</t>
        </is>
      </c>
      <c r="U47" s="2" t="inlineStr">
        <is>
          <t>Direct notice/resource lookup required</t>
        </is>
      </c>
      <c r="V47" s="2" t="inlineStr">
        <is>
          <t>Yes — 2 notice version(s)</t>
        </is>
      </c>
      <c r="W47" s="2" t="inlineStr">
        <is>
          <t>Unknown — archive retrieval required</t>
        </is>
      </c>
      <c r="X47" s="2" t="inlineStr">
        <is>
          <t>Mapped from 2023-2025 award index</t>
        </is>
      </c>
      <c r="Y47" s="2" t="inlineStr">
        <is>
          <t>https://sam.gov/workspace/contract/opp/4ef5ad3d1eb049ad9d93fe98d6fa2022/view</t>
        </is>
      </c>
      <c r="Z47" s="2" t="inlineStr"/>
      <c r="AA47" s="2" t="inlineStr"/>
      <c r="AB47" s="2" t="inlineStr">
        <is>
          <t>Combined Synopsis/Solicitation</t>
        </is>
      </c>
      <c r="AC47" s="2" t="inlineStr">
        <is>
          <t>No parent vehicle indicated at solicitation intake; verify clauses</t>
        </is>
      </c>
      <c r="AD47" s="2" t="inlineStr">
        <is>
          <t>Potentially yes — direct solicitation or combined notice</t>
        </is>
      </c>
      <c r="AE47" s="2" t="inlineStr">
        <is>
          <t>No evidence in metadata; verify solicitation</t>
        </is>
      </c>
      <c r="AF47" s="2" t="inlineStr">
        <is>
          <t>Potentially yes — subject to historical SAM registration and representations</t>
        </is>
      </c>
      <c r="AG47" s="2" t="inlineStr">
        <is>
          <t>No conflict detected in metadata; exact product review required</t>
        </is>
      </c>
      <c r="AH47" s="2" t="inlineStr">
        <is>
          <t>Exact product/NSN review required</t>
        </is>
      </c>
      <c r="AI47" s="2" t="inlineStr">
        <is>
          <t>Rental / lease</t>
        </is>
      </c>
      <c r="AJ47" s="2" t="inlineStr">
        <is>
          <t>Promising metadata; archive requirements review required</t>
        </is>
      </c>
      <c r="AK47" s="2" t="inlineStr">
        <is>
          <t>Unknown — never infer from award amount</t>
        </is>
      </c>
      <c r="AL47" s="2" t="inlineStr">
        <is>
          <t>Not modeled before archive and supplier-pricing gates</t>
        </is>
      </c>
      <c r="AM47" s="2" t="inlineStr">
        <is>
          <t>Unclassified pending requirements and sourcing</t>
        </is>
      </c>
      <c r="AN47" s="2" t="inlineStr">
        <is>
          <t>Not modeled before supplier pricing</t>
        </is>
      </c>
      <c r="AO47" s="2" t="inlineStr">
        <is>
          <t>90</t>
        </is>
      </c>
      <c r="AP47" s="2" t="inlineStr">
        <is>
          <t>0</t>
        </is>
      </c>
      <c r="AQ47" s="2" t="inlineStr">
        <is>
          <t>Strikeout</t>
        </is>
      </c>
      <c r="AR47" s="2" t="inlineStr">
        <is>
          <t>Gate 6 — product/service exclusion</t>
        </is>
      </c>
      <c r="AS47" s="2" t="inlineStr">
        <is>
          <t>NO-BID / CONTROL</t>
        </is>
      </c>
      <c r="AT47" s="2" t="inlineStr">
        <is>
          <t>Moderate — official extract metadata; direct archive review pending</t>
        </is>
      </c>
      <c r="AU47" s="2" t="inlineStr">
        <is>
          <t>Selection role: Target-lane candidate. Solicitation family contains 2 notice version(s): 5697137ca4694843a515ab72cadf781d; 4ef5ad3d1eb049ad9d93fe98d6fa2022. Representative notice chosen by detail score, not outcome. Historical award mapping did not control selection.</t>
        </is>
      </c>
      <c r="AV47" s="2" t="inlineStr">
        <is>
          <t>66425</t>
        </is>
      </c>
    </row>
    <row r="48">
      <c r="A48" s="2" t="inlineStr">
        <is>
          <t>HOS01-047</t>
        </is>
      </c>
      <c r="B48" s="2" t="inlineStr">
        <is>
          <t>3b3c3d91381b4a1cb204fd1819054bb0</t>
        </is>
      </c>
      <c r="C48" s="2" t="inlineStr">
        <is>
          <t>W912P624Q0025</t>
        </is>
      </c>
      <c r="D48" s="2" t="inlineStr">
        <is>
          <t>https://sam.gov/workspace/contract/opp/3b3c3d91381b4a1cb204fd1819054bb0/view</t>
        </is>
      </c>
      <c r="E48" s="2" t="inlineStr">
        <is>
          <t>Combined Synopsis/Solicitation</t>
        </is>
      </c>
      <c r="F48" s="2" t="inlineStr">
        <is>
          <t>2024-05-15</t>
        </is>
      </c>
      <c r="G48" s="2" t="inlineStr">
        <is>
          <t>2024-05-30</t>
        </is>
      </c>
      <c r="H48" s="2" t="inlineStr">
        <is>
          <t>DEPT OF DEFENSE</t>
        </is>
      </c>
      <c r="I48" s="2" t="inlineStr">
        <is>
          <t>DEPT OF THE ARMY</t>
        </is>
      </c>
      <c r="J48" s="2" t="inlineStr">
        <is>
          <t>W072 ENDIST CHICAGO</t>
        </is>
      </c>
      <c r="K48" s="2" t="inlineStr">
        <is>
          <t>UNDER BRIDGE INSPECTION ACCESS EQUIPMENT RENTAL</t>
        </is>
      </c>
      <c r="L48" s="2" t="inlineStr">
        <is>
          <t>EFFECTIVE MAY 29, 2024: The government has posted Amendment No. 0001 hereunder this Notice (please refer to the Attachments Section).**************************************************************************************************************************************************************************************************************************************************************************************************************************The time in PIEE and SAM are corrected to match the time in the solicitation form. This is a combined Synopsis/Solicitation Notice for commercial items issued pursuant to FAR Subpart 12. Under this notice, the U.S. Army Corps of Engineers, Chicago District (USACE) is issuing a Request for Quotations (RFQ) for: UNDER BRIDGE INSPECTION ACCESS EQUIPMENT RENTAL; SALAMONIE DAM TOWER BRIDGE INSPECTION, LAGRO, WABASH COUNTY, ILLINOIS, AND MISSISSINEWA DAM TOWER BRIDGE INSPECTION, PERU, MIAMI COUNTY, INDIANA. Competition for this acquisition is RESTRICTED TO SMALL BUSINESSES. AN OFFEROR MUST HAVE AN ACTIVE REGISTRATION IN THE SYSTEM FORAWARD MANAGEMENT WHEN PLACING AN OFFER/QUOTATION PACKAGE FORTHIS ACQUISITION. REGISTRATION CAN BE COMPLETED FREE OF CHARGE ATwww.sam.gov. The applicable Size Standard is North American Industry Classification System (NAICS) Code 532490 with a Small Business size standard of $40.0 Million. SUBMITTAL DUE DATE AND TIME: The Contractor submittal packages must be received by the USACE Chicago District Office no later than 3:30 p.m. (Central Time) on May 29, 2024. Please reference the subject solicitation number on all correspondence. IMPORTANT NOTE: IN THE CASE OF A DISCREPANCY BETWEEN THE DATES PUBLISHED IN THIS NOTICE AND THOSE CALLED OUT IN THE ATTACHED RFQ DOCUMENT, THEDATES IN THE RFQ DOCUMENT OVERRIDES THOS</t>
        </is>
      </c>
      <c r="M48" s="2" t="inlineStr">
        <is>
          <t>532490</t>
        </is>
      </c>
      <c r="N48" s="2" t="inlineStr">
        <is>
          <t>W038</t>
        </is>
      </c>
      <c r="O48" s="2" t="inlineStr"/>
      <c r="P48" s="2" t="inlineStr">
        <is>
          <t>Unknown pre-award; historical award retained only as answer key when mapped</t>
        </is>
      </c>
      <c r="Q48" s="2" t="inlineStr">
        <is>
          <t>Excluded or control category</t>
        </is>
      </c>
      <c r="R48" s="2" t="inlineStr">
        <is>
          <t>MRO tools and commercial hardware</t>
        </is>
      </c>
      <c r="S48" s="2" t="inlineStr"/>
      <c r="T48" s="2" t="inlineStr">
        <is>
          <t>Archive review required</t>
        </is>
      </c>
      <c r="U48" s="2" t="inlineStr">
        <is>
          <t>Direct notice/resource lookup required</t>
        </is>
      </c>
      <c r="V48" s="2" t="inlineStr">
        <is>
          <t>Yes — 3 notice version(s)</t>
        </is>
      </c>
      <c r="W48" s="2" t="inlineStr">
        <is>
          <t>Unknown — archive retrieval required</t>
        </is>
      </c>
      <c r="X48" s="2" t="inlineStr">
        <is>
          <t>Mapped from 2023-2025 award index</t>
        </is>
      </c>
      <c r="Y48" s="2" t="inlineStr">
        <is>
          <t>https://sam.gov/workspace/contract/opp/3b3c3d91381b4a1cb204fd1819054bb0/view</t>
        </is>
      </c>
      <c r="Z48" s="2" t="inlineStr"/>
      <c r="AA48" s="2" t="inlineStr"/>
      <c r="AB48" s="2" t="inlineStr">
        <is>
          <t>Combined Synopsis/Solicitation</t>
        </is>
      </c>
      <c r="AC48" s="2" t="inlineStr">
        <is>
          <t>No parent vehicle indicated at solicitation intake; verify clauses</t>
        </is>
      </c>
      <c r="AD48" s="2" t="inlineStr">
        <is>
          <t>Potentially yes — direct solicitation or combined notice</t>
        </is>
      </c>
      <c r="AE48" s="2" t="inlineStr">
        <is>
          <t>No evidence in metadata; verify solicitation</t>
        </is>
      </c>
      <c r="AF48" s="2" t="inlineStr">
        <is>
          <t>Potentially yes — subject to historical SAM registration and representations</t>
        </is>
      </c>
      <c r="AG48" s="2" t="inlineStr">
        <is>
          <t>No conflict detected in metadata; exact product review required</t>
        </is>
      </c>
      <c r="AH48" s="2" t="inlineStr">
        <is>
          <t>Exact product/NSN review required</t>
        </is>
      </c>
      <c r="AI48" s="2" t="inlineStr">
        <is>
          <t>Rental / lease</t>
        </is>
      </c>
      <c r="AJ48" s="2" t="inlineStr">
        <is>
          <t>Promising metadata; archive requirements review required</t>
        </is>
      </c>
      <c r="AK48" s="2" t="inlineStr">
        <is>
          <t>Unknown — never infer from award amount</t>
        </is>
      </c>
      <c r="AL48" s="2" t="inlineStr">
        <is>
          <t>Not modeled before archive and supplier-pricing gates</t>
        </is>
      </c>
      <c r="AM48" s="2" t="inlineStr">
        <is>
          <t>Unclassified pending requirements and sourcing</t>
        </is>
      </c>
      <c r="AN48" s="2" t="inlineStr">
        <is>
          <t>Not modeled before supplier pricing</t>
        </is>
      </c>
      <c r="AO48" s="2" t="inlineStr">
        <is>
          <t>90</t>
        </is>
      </c>
      <c r="AP48" s="2" t="inlineStr">
        <is>
          <t>0</t>
        </is>
      </c>
      <c r="AQ48" s="2" t="inlineStr">
        <is>
          <t>Strikeout</t>
        </is>
      </c>
      <c r="AR48" s="2" t="inlineStr">
        <is>
          <t>Gate 6 — product/service exclusion</t>
        </is>
      </c>
      <c r="AS48" s="2" t="inlineStr">
        <is>
          <t>NO-BID / CONTROL</t>
        </is>
      </c>
      <c r="AT48" s="2" t="inlineStr">
        <is>
          <t>Moderate — official extract metadata; direct archive review pending</t>
        </is>
      </c>
      <c r="AU48" s="2" t="inlineStr">
        <is>
          <t>Selection role: Target-lane candidate. Solicitation family contains 3 notice version(s): 9ad1f3dc4cf84bcc9d3230e26aea7e55; 826efdeed7c04c1c9836ff204803967f; 3b3c3d91381b4a1cb204fd1819054bb0. Representative notice chosen by detail score, not outcome. Historical award mapping did not control selection.</t>
        </is>
      </c>
      <c r="AV48" s="2" t="inlineStr">
        <is>
          <t>66409</t>
        </is>
      </c>
    </row>
    <row r="49">
      <c r="A49" s="2" t="inlineStr">
        <is>
          <t>HOS01-048</t>
        </is>
      </c>
      <c r="B49" s="2" t="inlineStr">
        <is>
          <t>96a703a8ac8b4cfe84dfb65ba39b83cf</t>
        </is>
      </c>
      <c r="C49" s="2" t="inlineStr">
        <is>
          <t>W912P624B0009</t>
        </is>
      </c>
      <c r="D49" s="2" t="inlineStr">
        <is>
          <t>https://sam.gov/workspace/contract/opp/96a703a8ac8b4cfe84dfb65ba39b83cf/view</t>
        </is>
      </c>
      <c r="E49" s="2" t="inlineStr">
        <is>
          <t>Solicitation</t>
        </is>
      </c>
      <c r="F49" s="2" t="inlineStr">
        <is>
          <t>2024-06-26</t>
        </is>
      </c>
      <c r="G49" s="2" t="inlineStr">
        <is>
          <t>2024-07-26</t>
        </is>
      </c>
      <c r="H49" s="2" t="inlineStr">
        <is>
          <t>DEPT OF DEFENSE</t>
        </is>
      </c>
      <c r="I49" s="2" t="inlineStr">
        <is>
          <t>DEPT OF THE ARMY</t>
        </is>
      </c>
      <c r="J49" s="2" t="inlineStr">
        <is>
          <t>W072 ENDIST CHICAGO</t>
        </is>
      </c>
      <c r="K49" s="2" t="inlineStr">
        <is>
          <t>Town of Hebron Water Main Replacement, Hebron, Porter County, Indiana (USACE Acquisition)</t>
        </is>
      </c>
      <c r="L49" s="2" t="inlineStr">
        <is>
          <t>** EFFECTIVE JULY 26, 2024: The government has attached the Bid Opening Results (please refer to the Attachments Section of this Notice).** ***** TIME OF BID SUBMISSION: Bids are required one hour prior the time specified on Page 1 of this Solicitation, Block #13a. Please note, FAR Subpart 14.302 Bid submission; Bids shall be submitted so that they will be received in the office designated in the invitation for bids not later than the exact time set for opening of bids. ***** VIRTUAL BID OPENING INFORMATION: THE VIRTUAL BID OPENING WILL BE CONDUCTED ON JULY 26, 2024 AT 2:00 P.M. (CENTRAL TIME). AT THE DESIGNATED DAY AND TIME, PLEASE JOIN BY: MEETING LINK: https://usace1.webex.com/usace1/j.php?MTID=m5c1427a42f9475dd6e6c01faa745483b. Meeting Number (access code): 2830 245 7770. Meeting Password: Qk2XJJne4@2. OR, JOIN BY PHONE: 1-844-800-2712 US Toll Free, 1-669-234-1177 US Toll. Access Code: 2830 245 7770. Conf ID: press the # sign. ** EFFECTIVE JULY 23, 2024: The government has posted Amendment No. 0001 hereunder this Notice (please refer to the Attachments Section). ** Under this Solicitation Notice, the United States Army Corps of Engineers - Chicago District issues Solicitation No. W912P624B0009 for bidding purposes. Therefore, provided hereunder is the relevant bid package for its construction project entitled, Town of Hebron Water Main Replacement, Hebron, Porter County, Indiana (USACE Acquisition). PROJECT INFORMATION: The work includes installing approximately 2,900 linear feet of new 8-inch PVC watermain by open-cut excavation and approximately 900 linear feet of horizontally directional drilled 8-inch PVC. Work w ill also include approximately 900 linear feet of 6-inch PVC watermain installed by open cut; installation of residential services, valves, and associa</t>
        </is>
      </c>
      <c r="M49" s="2" t="inlineStr">
        <is>
          <t>237110</t>
        </is>
      </c>
      <c r="N49" s="2" t="inlineStr">
        <is>
          <t>Y1PZ</t>
        </is>
      </c>
      <c r="O49" s="2" t="inlineStr">
        <is>
          <t>Total Small Business Set-Aside (FAR 19.5)</t>
        </is>
      </c>
      <c r="P49" s="2" t="inlineStr">
        <is>
          <t>Unknown pre-award; historical award retained only as answer key when mapped</t>
        </is>
      </c>
      <c r="Q49" s="2" t="inlineStr">
        <is>
          <t>Excluded or control category</t>
        </is>
      </c>
      <c r="R49" s="2" t="inlineStr">
        <is>
          <t>MRO tools and commercial hardware</t>
        </is>
      </c>
      <c r="S49" s="2" t="inlineStr"/>
      <c r="T49" s="2" t="inlineStr">
        <is>
          <t>Archive review required</t>
        </is>
      </c>
      <c r="U49" s="2" t="inlineStr">
        <is>
          <t>Direct notice/resource lookup required</t>
        </is>
      </c>
      <c r="V49" s="2" t="inlineStr">
        <is>
          <t>Yes — 4 notice version(s)</t>
        </is>
      </c>
      <c r="W49" s="2" t="inlineStr">
        <is>
          <t>Unknown — archive retrieval required</t>
        </is>
      </c>
      <c r="X49" s="2" t="inlineStr">
        <is>
          <t>Mapped from 2023-2025 award index</t>
        </is>
      </c>
      <c r="Y49" s="2" t="inlineStr">
        <is>
          <t>https://sam.gov/workspace/contract/opp/96a703a8ac8b4cfe84dfb65ba39b83cf/view</t>
        </is>
      </c>
      <c r="Z49" s="2" t="inlineStr"/>
      <c r="AA49" s="2" t="inlineStr"/>
      <c r="AB49" s="2" t="inlineStr">
        <is>
          <t>Solicitation</t>
        </is>
      </c>
      <c r="AC49" s="2" t="inlineStr">
        <is>
          <t>No parent vehicle indicated at solicitation intake; verify clauses</t>
        </is>
      </c>
      <c r="AD49" s="2" t="inlineStr">
        <is>
          <t>Potentially yes — direct solicitation or combined notice</t>
        </is>
      </c>
      <c r="AE49" s="2" t="inlineStr">
        <is>
          <t>No evidence in metadata; verify solicitation</t>
        </is>
      </c>
      <c r="AF49" s="2" t="inlineStr">
        <is>
          <t>Potentially yes — subject to historical SAM registration and representations</t>
        </is>
      </c>
      <c r="AG49" s="2" t="inlineStr">
        <is>
          <t>No conflict detected in metadata; exact product review required</t>
        </is>
      </c>
      <c r="AH49" s="2" t="inlineStr">
        <is>
          <t>Exact product/NSN review required</t>
        </is>
      </c>
      <c r="AI49" s="2" t="inlineStr">
        <is>
          <t>Construction / installation / repair / field service</t>
        </is>
      </c>
      <c r="AJ49" s="2" t="inlineStr">
        <is>
          <t>Promising metadata; archive requirements review required</t>
        </is>
      </c>
      <c r="AK49" s="2" t="inlineStr">
        <is>
          <t>Unknown — never infer from award amount</t>
        </is>
      </c>
      <c r="AL49" s="2" t="inlineStr">
        <is>
          <t>Not modeled before archive and supplier-pricing gates</t>
        </is>
      </c>
      <c r="AM49" s="2" t="inlineStr">
        <is>
          <t>Unclassified pending requirements and sourcing</t>
        </is>
      </c>
      <c r="AN49" s="2" t="inlineStr">
        <is>
          <t>Not modeled before supplier pricing</t>
        </is>
      </c>
      <c r="AO49" s="2" t="inlineStr">
        <is>
          <t>90</t>
        </is>
      </c>
      <c r="AP49" s="2" t="inlineStr">
        <is>
          <t>0</t>
        </is>
      </c>
      <c r="AQ49" s="2" t="inlineStr">
        <is>
          <t>Strikeout</t>
        </is>
      </c>
      <c r="AR49" s="2" t="inlineStr">
        <is>
          <t>Gate 6 — product/service exclusion</t>
        </is>
      </c>
      <c r="AS49" s="2" t="inlineStr">
        <is>
          <t>NO-BID / CONTROL</t>
        </is>
      </c>
      <c r="AT49" s="2" t="inlineStr">
        <is>
          <t>Moderate — official extract metadata; direct archive review pending</t>
        </is>
      </c>
      <c r="AU49" s="2" t="inlineStr">
        <is>
          <t>Selection role: Target-lane candidate. Solicitation family contains 4 notice version(s): 82520cbf1c204d32a26e79f60f4cd36f; 1021a23f9bfe461086cb4b17e9bb950c; 96a703a8ac8b4cfe84dfb65ba39b83cf; b4d1d577e3a24c8bab3b01add4c4234b. Representative notice chosen by detail score, not outcome. Historical award mapping did not control selection.</t>
        </is>
      </c>
      <c r="AV49" s="2" t="inlineStr">
        <is>
          <t>65873</t>
        </is>
      </c>
    </row>
    <row r="50">
      <c r="A50" s="2" t="inlineStr">
        <is>
          <t>HOS01-049</t>
        </is>
      </c>
      <c r="B50" s="2" t="inlineStr">
        <is>
          <t>4f36e4d1aa1c4b3ebeb6ca5923cf4be7</t>
        </is>
      </c>
      <c r="C50" s="2" t="inlineStr">
        <is>
          <t>W912P624B0008</t>
        </is>
      </c>
      <c r="D50" s="2" t="inlineStr">
        <is>
          <t>https://sam.gov/workspace/contract/opp/4f36e4d1aa1c4b3ebeb6ca5923cf4be7/view</t>
        </is>
      </c>
      <c r="E50" s="2" t="inlineStr">
        <is>
          <t>Solicitation</t>
        </is>
      </c>
      <c r="F50" s="2" t="inlineStr">
        <is>
          <t>2024-05-02</t>
        </is>
      </c>
      <c r="G50" s="2" t="inlineStr">
        <is>
          <t>2024-06-11</t>
        </is>
      </c>
      <c r="H50" s="2" t="inlineStr">
        <is>
          <t>DEPT OF DEFENSE</t>
        </is>
      </c>
      <c r="I50" s="2" t="inlineStr">
        <is>
          <t>DEPT OF THE ARMY</t>
        </is>
      </c>
      <c r="J50" s="2" t="inlineStr">
        <is>
          <t>W072 ENDIST CHICAGO</t>
        </is>
      </c>
      <c r="K50" s="2" t="inlineStr">
        <is>
          <t>Solicitation W912P624B0008 Village of Glenwood Stormwater Improvements, Glenwood, Cook County, Illinois (USACE Acquisition)</t>
        </is>
      </c>
      <c r="L50" s="2" t="inlineStr">
        <is>
          <t>EFFECTIVE JUNE 11, 2024: The government has attached the Bid Opening Results (please refer to the Attachments Section of this Notice).***** **TIME OF BID SUBMISSION: Bids are required one hour prior the time specified on Page 1 of this Solicitation, Block #13a. Please note, FAR Subpart 14.302 Bid submission; Bids shall be submitted so that they will be received in the office designated in the invitation for bids not later than the exact time set for opening of bids.** ********** VIRTUAL BID OPENING INFORMATION: THE VIRTUAL BID OPENING WILL BE CONDUCTED ON JUNE 11, 2024 AT 2:00 P.M. (CENTRAL TIME). AT THE DESIGNATED DAY AND TIME, PLEASE JOIN BY: ** MEETING LINK: https://usace1.webex.com/usace1/j.php?MTID=m4b66f0ab8f287427db1d1d5953cc6b59. Meeting number (access code): 2828 829 2706. Meeting Password: GpBsGXZ@332. OR, JOIN BY PHONE: 1-844-800-2712 US Toll Free; 1-669-234-1177 US Toll. Access code: 2828 829 2706. Conf ID: press the # sign. ********** EFFECTIVE MAY 31, 2024: The government has posted Amendment No. 0001 hereunder this Notice (please refer to the Attachments Section). ** Under this Solicitation Notice, the United States Army Corps of Engineers - Chicago District issues Solicitation No. W912P624B0008 for bidding purposes. Therefore, provided hereunder is the relevant bid package for its construction project entitled, Village of Glenwood Stormwater Improvements, Glenwood, Cook County, Illinois (USACE Acquisition).PROJECT INFORMATION: The project work involves the construction of additional infrastructure to support the redevelopment and development of the Halsted Street Corridor. This project will provide infrastructure for the south half of the plaza at Halsted Street between 183rd Street and Streiff Lane. It will also provide a regional stormwater detention p</t>
        </is>
      </c>
      <c r="M50" s="2" t="inlineStr">
        <is>
          <t>237110</t>
        </is>
      </c>
      <c r="N50" s="2" t="inlineStr">
        <is>
          <t>Y1PZ</t>
        </is>
      </c>
      <c r="O50" s="2" t="inlineStr">
        <is>
          <t>Total Small Business Set-Aside (FAR 19.5)</t>
        </is>
      </c>
      <c r="P50" s="2" t="inlineStr">
        <is>
          <t>Unknown pre-award; historical award retained only as answer key when mapped</t>
        </is>
      </c>
      <c r="Q50" s="2" t="inlineStr">
        <is>
          <t>Excluded or control category</t>
        </is>
      </c>
      <c r="R50" s="2" t="inlineStr">
        <is>
          <t>MRO tools and commercial hardware</t>
        </is>
      </c>
      <c r="S50" s="2" t="inlineStr"/>
      <c r="T50" s="2" t="inlineStr">
        <is>
          <t>Archive review required</t>
        </is>
      </c>
      <c r="U50" s="2" t="inlineStr">
        <is>
          <t>Direct notice/resource lookup required</t>
        </is>
      </c>
      <c r="V50" s="2" t="inlineStr">
        <is>
          <t>Yes — 6 notice version(s)</t>
        </is>
      </c>
      <c r="W50" s="2" t="inlineStr">
        <is>
          <t>Unknown — archive retrieval required</t>
        </is>
      </c>
      <c r="X50" s="2" t="inlineStr">
        <is>
          <t>Mapped from 2023-2025 award index</t>
        </is>
      </c>
      <c r="Y50" s="2" t="inlineStr">
        <is>
          <t>https://sam.gov/workspace/contract/opp/4f36e4d1aa1c4b3ebeb6ca5923cf4be7/view</t>
        </is>
      </c>
      <c r="Z50" s="2" t="inlineStr"/>
      <c r="AA50" s="2" t="inlineStr"/>
      <c r="AB50" s="2" t="inlineStr">
        <is>
          <t>Solicitation</t>
        </is>
      </c>
      <c r="AC50" s="2" t="inlineStr">
        <is>
          <t>No parent vehicle indicated at solicitation intake; verify clauses</t>
        </is>
      </c>
      <c r="AD50" s="2" t="inlineStr">
        <is>
          <t>Potentially yes — direct solicitation or combined notice</t>
        </is>
      </c>
      <c r="AE50" s="2" t="inlineStr">
        <is>
          <t>No evidence in metadata; verify solicitation</t>
        </is>
      </c>
      <c r="AF50" s="2" t="inlineStr">
        <is>
          <t>Potentially yes — subject to historical SAM registration and representations</t>
        </is>
      </c>
      <c r="AG50" s="2" t="inlineStr">
        <is>
          <t>No conflict detected in metadata; exact product review required</t>
        </is>
      </c>
      <c r="AH50" s="2" t="inlineStr">
        <is>
          <t>Exact product/NSN review required</t>
        </is>
      </c>
      <c r="AI50" s="2" t="inlineStr">
        <is>
          <t>Construction / installation / repair / field service</t>
        </is>
      </c>
      <c r="AJ50" s="2" t="inlineStr">
        <is>
          <t>Promising metadata; archive requirements review required</t>
        </is>
      </c>
      <c r="AK50" s="2" t="inlineStr">
        <is>
          <t>Unknown — never infer from award amount</t>
        </is>
      </c>
      <c r="AL50" s="2" t="inlineStr">
        <is>
          <t>Not modeled before archive and supplier-pricing gates</t>
        </is>
      </c>
      <c r="AM50" s="2" t="inlineStr">
        <is>
          <t>Unclassified pending requirements and sourcing</t>
        </is>
      </c>
      <c r="AN50" s="2" t="inlineStr">
        <is>
          <t>Not modeled before supplier pricing</t>
        </is>
      </c>
      <c r="AO50" s="2" t="inlineStr">
        <is>
          <t>90</t>
        </is>
      </c>
      <c r="AP50" s="2" t="inlineStr">
        <is>
          <t>0</t>
        </is>
      </c>
      <c r="AQ50" s="2" t="inlineStr">
        <is>
          <t>Strikeout</t>
        </is>
      </c>
      <c r="AR50" s="2" t="inlineStr">
        <is>
          <t>Gate 6 — product/service exclusion</t>
        </is>
      </c>
      <c r="AS50" s="2" t="inlineStr">
        <is>
          <t>NO-BID / CONTROL</t>
        </is>
      </c>
      <c r="AT50" s="2" t="inlineStr">
        <is>
          <t>Moderate — official extract metadata; direct archive review pending</t>
        </is>
      </c>
      <c r="AU50" s="2" t="inlineStr">
        <is>
          <t>Selection role: Target-lane candidate. Solicitation family contains 6 notice version(s): abf5795c6a4d4413bbd02229688a5ea1; 029fcd0cd8fc4522adb6ac5b0990e9dd; 110cfec91e3c419da5e54e9a2ba7f0cc; bebaec34dafa4523be99e69c3ecca3f3; 4f36e4d1aa1c4b3ebeb6ca5923cf4be7; 012e0da222f14cd2959bbd1403f7d363. Representative notice chosen by detail score, not outcome. Historical award mapping did not control selection.</t>
        </is>
      </c>
      <c r="AV50" s="2" t="inlineStr">
        <is>
          <t>66283</t>
        </is>
      </c>
    </row>
    <row r="51">
      <c r="A51" s="2" t="inlineStr">
        <is>
          <t>HOS01-050</t>
        </is>
      </c>
      <c r="B51" s="2" t="inlineStr">
        <is>
          <t>4cf9654f9ca64e679cec50c969055599</t>
        </is>
      </c>
      <c r="C51" s="2" t="inlineStr">
        <is>
          <t>W912P624R0009</t>
        </is>
      </c>
      <c r="D51" s="2" t="inlineStr">
        <is>
          <t>https://sam.gov/workspace/contract/opp/4cf9654f9ca64e679cec50c969055599/view</t>
        </is>
      </c>
      <c r="E51" s="2" t="inlineStr">
        <is>
          <t>Combined Synopsis/Solicitation</t>
        </is>
      </c>
      <c r="F51" s="2" t="inlineStr">
        <is>
          <t>2024-06-18</t>
        </is>
      </c>
      <c r="G51" s="2" t="inlineStr">
        <is>
          <t>2024-07-12</t>
        </is>
      </c>
      <c r="H51" s="2" t="inlineStr">
        <is>
          <t>DEPT OF DEFENSE</t>
        </is>
      </c>
      <c r="I51" s="2" t="inlineStr">
        <is>
          <t>DEPT OF THE ARMY</t>
        </is>
      </c>
      <c r="J51" s="2" t="inlineStr">
        <is>
          <t>W072 ENDIST CHICAGO</t>
        </is>
      </c>
      <c r="K51" s="2" t="inlineStr">
        <is>
          <t>FACILITY MAINTENANCE SERVICES, LOCKPORT, WILL COUNTY, ILLINOIS</t>
        </is>
      </c>
      <c r="L51" s="2" t="inlineStr">
        <is>
          <t>EFFECTIVE JULY 10, 2024: The government has posted Amendment No. 0005 hereunder this Notice (please refer to the Attachments Section). Amendment No. 0005 revised the price schedule. ** EFFECTIVE JULY 10, 2024: The government has posted Amendment No. 0004 hereunder this Notice (please refer to the Attachments Section). Amendment No. 0004 extended the response due date. ** EFFECTIVE JULY 3, 2024: The government has posted Amendment No. 0003 hereunder this Notice (please refer to the Attachments Section). ** EFFECTIVE JUNE 28, 2024: The government has posted Amendment No. 0002 hereunder this Notice (please refer to the Attachments Section). ** EFFECTIVE JUNE 26, 2024: The government has posted Amendment No. 0001 hereunder this Notice (please refer to the Attachments Section). ** This is a combined Synopsis/Solicitation Notice for Commercial Items issued pursuant to the Federal Acquisition Regulation (FAR) Subpart 12.6. Under this notice, the U.S. Army Corps of Engineers, Chicago District (USACE) is issuing a Request for Proposals (RFP) for: FACILITY MAINTENANCE SERVICES, LOCKPORT, WILL COUNTY, ILLINOIS. The works involves the FACILITY MAINTENANCE SERVICES located at the Chicago Sanitary and Ship Canal (CSSC) Aquatic Nuisance Species facility buildings. The contractor shall furnish staff of experience, support equipment, and material of quantity to provide interior and exterior custodial/housekeeping; establish and maintain fire alarm monitoring, annual fire alarm, fire extinguishers, and fire suppression tank certification and testing; establish and maintain monthly interior and exterior pest control services, refuse services, and waste water tank services and other facility maintenance work for the USACE Chicago Sanitary and Ship Canal (CSSC) Aquatic Nuisance Species faci</t>
        </is>
      </c>
      <c r="M51" s="2" t="inlineStr">
        <is>
          <t>561210</t>
        </is>
      </c>
      <c r="N51" s="2" t="inlineStr">
        <is>
          <t>S216</t>
        </is>
      </c>
      <c r="O51" s="2" t="inlineStr">
        <is>
          <t>Total Small Business Set-Aside (FAR 19.5)</t>
        </is>
      </c>
      <c r="P51" s="2" t="inlineStr">
        <is>
          <t>Unknown pre-award; historical award retained only as answer key when mapped</t>
        </is>
      </c>
      <c r="Q51" s="2" t="inlineStr">
        <is>
          <t>Excluded or control category</t>
        </is>
      </c>
      <c r="R51" s="2" t="inlineStr">
        <is>
          <t>MRO tools and commercial hardware</t>
        </is>
      </c>
      <c r="S51" s="2" t="inlineStr"/>
      <c r="T51" s="2" t="inlineStr">
        <is>
          <t>Archive review required</t>
        </is>
      </c>
      <c r="U51" s="2" t="inlineStr">
        <is>
          <t>Direct notice/resource lookup required</t>
        </is>
      </c>
      <c r="V51" s="2" t="inlineStr">
        <is>
          <t>Yes — 6 notice version(s)</t>
        </is>
      </c>
      <c r="W51" s="2" t="inlineStr">
        <is>
          <t>Unknown — archive retrieval required</t>
        </is>
      </c>
      <c r="X51" s="2" t="inlineStr">
        <is>
          <t>Mapped from 2023-2025 award index</t>
        </is>
      </c>
      <c r="Y51" s="2" t="inlineStr">
        <is>
          <t>https://sam.gov/workspace/contract/opp/4cf9654f9ca64e679cec50c969055599/view</t>
        </is>
      </c>
      <c r="Z51" s="2" t="inlineStr"/>
      <c r="AA51" s="2" t="inlineStr"/>
      <c r="AB51" s="2" t="inlineStr">
        <is>
          <t>Combined Synopsis/Solicitation</t>
        </is>
      </c>
      <c r="AC51" s="2" t="inlineStr">
        <is>
          <t>No parent vehicle indicated at solicitation intake; verify clauses</t>
        </is>
      </c>
      <c r="AD51" s="2" t="inlineStr">
        <is>
          <t>Potentially yes — direct solicitation or combined notice</t>
        </is>
      </c>
      <c r="AE51" s="2" t="inlineStr">
        <is>
          <t>No evidence in metadata; verify solicitation</t>
        </is>
      </c>
      <c r="AF51" s="2" t="inlineStr">
        <is>
          <t>Potentially yes — subject to historical SAM registration and representations</t>
        </is>
      </c>
      <c r="AG51" s="2" t="inlineStr">
        <is>
          <t>No conflict detected in metadata; exact product review required</t>
        </is>
      </c>
      <c r="AH51" s="2" t="inlineStr">
        <is>
          <t>Exact product/NSN review required</t>
        </is>
      </c>
      <c r="AI51" s="2" t="inlineStr">
        <is>
          <t>Construction / installation / repair / field service</t>
        </is>
      </c>
      <c r="AJ51" s="2" t="inlineStr">
        <is>
          <t>Promising metadata; archive requirements review required</t>
        </is>
      </c>
      <c r="AK51" s="2" t="inlineStr">
        <is>
          <t>Unknown — never infer from award amount</t>
        </is>
      </c>
      <c r="AL51" s="2" t="inlineStr">
        <is>
          <t>Not modeled before archive and supplier-pricing gates</t>
        </is>
      </c>
      <c r="AM51" s="2" t="inlineStr">
        <is>
          <t>Unclassified pending requirements and sourcing</t>
        </is>
      </c>
      <c r="AN51" s="2" t="inlineStr">
        <is>
          <t>Not modeled before supplier pricing</t>
        </is>
      </c>
      <c r="AO51" s="2" t="inlineStr">
        <is>
          <t>90</t>
        </is>
      </c>
      <c r="AP51" s="2" t="inlineStr">
        <is>
          <t>0</t>
        </is>
      </c>
      <c r="AQ51" s="2" t="inlineStr">
        <is>
          <t>Strikeout</t>
        </is>
      </c>
      <c r="AR51" s="2" t="inlineStr">
        <is>
          <t>Gate 6 — product/service exclusion</t>
        </is>
      </c>
      <c r="AS51" s="2" t="inlineStr">
        <is>
          <t>NO-BID / CONTROL</t>
        </is>
      </c>
      <c r="AT51" s="2" t="inlineStr">
        <is>
          <t>Moderate — official extract metadata; direct archive review pending</t>
        </is>
      </c>
      <c r="AU51" s="2" t="inlineStr">
        <is>
          <t>Selection role: Target-lane candidate. Solicitation family contains 6 notice version(s): 3a54dc47257e4d6186022b537b204488; 483a7f70887b43f88badf6652cfca36f; 95ff38fc0fd441b3945a53c0f38ba19a; 831a4797526041ce88a488dde35027f5; 4cf9654f9ca64e679cec50c969055599; 5ffbcdfc1ab540f2b5c39e7d5be1d81a. Representative notice chosen by detail score, not outcome. Historical award mapping did not control selection.</t>
        </is>
      </c>
      <c r="AV51" s="2" t="inlineStr">
        <is>
          <t>66013</t>
        </is>
      </c>
    </row>
    <row r="52">
      <c r="A52" s="2" t="inlineStr">
        <is>
          <t>HOS01-051</t>
        </is>
      </c>
      <c r="B52" s="2" t="inlineStr">
        <is>
          <t>fb9b7df1672449efab9fa5351b335b01</t>
        </is>
      </c>
      <c r="C52" s="2" t="inlineStr">
        <is>
          <t>W912P624Q0033</t>
        </is>
      </c>
      <c r="D52" s="2" t="inlineStr">
        <is>
          <t>https://sam.gov/workspace/contract/opp/fb9b7df1672449efab9fa5351b335b01/view</t>
        </is>
      </c>
      <c r="E52" s="2" t="inlineStr">
        <is>
          <t>Combined Synopsis/Solicitation</t>
        </is>
      </c>
      <c r="F52" s="2" t="inlineStr">
        <is>
          <t>2024-09-03</t>
        </is>
      </c>
      <c r="G52" s="2" t="inlineStr">
        <is>
          <t>2024-09-18</t>
        </is>
      </c>
      <c r="H52" s="2" t="inlineStr">
        <is>
          <t>DEPT OF DEFENSE</t>
        </is>
      </c>
      <c r="I52" s="2" t="inlineStr">
        <is>
          <t>DEPT OF THE ARMY</t>
        </is>
      </c>
      <c r="J52" s="2" t="inlineStr">
        <is>
          <t>W072 ENDIST CHICAGO</t>
        </is>
      </c>
      <c r="K52" s="2" t="inlineStr">
        <is>
          <t>Solicitation W912P624Q0033 Chicago Harbor Lock Security System Upgrade, Chicago, Cook County, Illinois</t>
        </is>
      </c>
      <c r="L52" s="2" t="inlineStr">
        <is>
          <t>EFFECTIVE SEPTEMBER 17, 2024: The government has posted Amendment No. 0002 hereunder this Notice (please refer to the Attachments Section). **EFFECTIVE SEPTEMBER 6, 2024: The government has posted Amendment No. 0001 hereunder this Notice (please refer to the Attachments Section). ** This is a Combined Synopsis/Solicitation Notice for commercial items issued pursuant to FAR Subpart 12. Under this notice, the U.S. Army Corps of Engineers, Chicago District (USACE) is issuing a Request for Quotations (RFQ) for: CHICAGO HARBOR LOCK SECURITY SYSTEM UPGRADE. GOVERNMENT REQUIREMENT: This acquisition is pursuant to the provisions set forth by Part 12 of the Federal Acquisition Regulation, Commercial Items. In this acquisition, the contractor shall supply and deliver Security Cameras and Network Video Recorders for the Chicago Harbor Lock, Chicago, Cook County, Illinois in accordance with the enclosed statement of work. Pricing shall include parts, materials, deliveries, and any incidentals to perform the entire work described in the statement of work. Competition for this acquisition is RESTRICTED TO SMALL BUSINESSES. AN OFFEROR MUST HAVE AN ACTIVE REGISTRATION IN THE SYSTEM FORAWARD MANAGEMENT WHEN PLACING AN OFFER/QUOTATION PACKAGE FORTHIS ACQUISITION. REGISTRATION CAN BE COMPLETED FREE OF CHARGE ATwww.sam.gov. The applicable Size Standard is North American Industry Classification System(NAICS) Code 561621 with a Small Business size standard of $25M. SUBMITTAL DUE DATE AND TIME: The Contractor submittal packages must be received by the USACE-Chicago District Office no later than 1:00 p.m. (Central Time) on September 18, 2024. IMPORTANT NOTE: IN THE CASE OF A DISCREPANCY BETWEEN THE DATES PUBLISHED IN THIS NOTICE AND THOSE CALLED OUT IN THE ATTACHED RFQ DOCUMENT, THE DATES IN T</t>
        </is>
      </c>
      <c r="M52" s="2" t="inlineStr">
        <is>
          <t>561621</t>
        </is>
      </c>
      <c r="N52" s="2" t="inlineStr">
        <is>
          <t>5810</t>
        </is>
      </c>
      <c r="O52" s="2" t="inlineStr">
        <is>
          <t>Total Small Business Set-Aside (FAR 19.5)</t>
        </is>
      </c>
      <c r="P52" s="2" t="inlineStr">
        <is>
          <t>Unknown pre-award; historical award retained only as answer key when mapped</t>
        </is>
      </c>
      <c r="Q52" s="2" t="inlineStr">
        <is>
          <t>Excluded or control category</t>
        </is>
      </c>
      <c r="R52" s="2" t="inlineStr">
        <is>
          <t>MRO tools and commercial hardware</t>
        </is>
      </c>
      <c r="S52" s="2" t="inlineStr"/>
      <c r="T52" s="2" t="inlineStr">
        <is>
          <t>Archive review required</t>
        </is>
      </c>
      <c r="U52" s="2" t="inlineStr">
        <is>
          <t>Direct notice/resource lookup required</t>
        </is>
      </c>
      <c r="V52" s="2" t="inlineStr">
        <is>
          <t>Yes — 3 notice version(s)</t>
        </is>
      </c>
      <c r="W52" s="2" t="inlineStr">
        <is>
          <t>Unknown — archive retrieval required</t>
        </is>
      </c>
      <c r="X52" s="2" t="inlineStr">
        <is>
          <t>Mapped from 2023-2025 award index</t>
        </is>
      </c>
      <c r="Y52" s="2" t="inlineStr">
        <is>
          <t>https://sam.gov/workspace/contract/opp/fb9b7df1672449efab9fa5351b335b01/view</t>
        </is>
      </c>
      <c r="Z52" s="2" t="inlineStr"/>
      <c r="AA52" s="2" t="inlineStr"/>
      <c r="AB52" s="2" t="inlineStr">
        <is>
          <t>Combined Synopsis/Solicitation</t>
        </is>
      </c>
      <c r="AC52" s="2" t="inlineStr">
        <is>
          <t>No parent vehicle indicated at solicitation intake; verify clauses</t>
        </is>
      </c>
      <c r="AD52" s="2" t="inlineStr">
        <is>
          <t>Potentially yes — direct solicitation or combined notice</t>
        </is>
      </c>
      <c r="AE52" s="2" t="inlineStr">
        <is>
          <t>No evidence in metadata; verify solicitation</t>
        </is>
      </c>
      <c r="AF52" s="2" t="inlineStr">
        <is>
          <t>Potentially yes — subject to historical SAM registration and representations</t>
        </is>
      </c>
      <c r="AG52" s="2" t="inlineStr">
        <is>
          <t>No conflict detected in metadata; exact product review required</t>
        </is>
      </c>
      <c r="AH52" s="2" t="inlineStr">
        <is>
          <t>Exact product/NSN review required</t>
        </is>
      </c>
      <c r="AI52" s="2" t="inlineStr">
        <is>
          <t>Rental / lease</t>
        </is>
      </c>
      <c r="AJ52" s="2" t="inlineStr">
        <is>
          <t>Promising metadata; archive requirements review required</t>
        </is>
      </c>
      <c r="AK52" s="2" t="inlineStr">
        <is>
          <t>Unknown — never infer from award amount</t>
        </is>
      </c>
      <c r="AL52" s="2" t="inlineStr">
        <is>
          <t>Not modeled before archive and supplier-pricing gates</t>
        </is>
      </c>
      <c r="AM52" s="2" t="inlineStr">
        <is>
          <t>Unclassified pending requirements and sourcing</t>
        </is>
      </c>
      <c r="AN52" s="2" t="inlineStr">
        <is>
          <t>Not modeled before supplier pricing</t>
        </is>
      </c>
      <c r="AO52" s="2" t="inlineStr">
        <is>
          <t>90</t>
        </is>
      </c>
      <c r="AP52" s="2" t="inlineStr">
        <is>
          <t>0</t>
        </is>
      </c>
      <c r="AQ52" s="2" t="inlineStr">
        <is>
          <t>Strikeout</t>
        </is>
      </c>
      <c r="AR52" s="2" t="inlineStr">
        <is>
          <t>Gate 6 — product/service exclusion</t>
        </is>
      </c>
      <c r="AS52" s="2" t="inlineStr">
        <is>
          <t>NO-BID / CONTROL</t>
        </is>
      </c>
      <c r="AT52" s="2" t="inlineStr">
        <is>
          <t>Moderate — official extract metadata; direct archive review pending</t>
        </is>
      </c>
      <c r="AU52" s="2" t="inlineStr">
        <is>
          <t>Selection role: Target-lane candidate. Solicitation family contains 3 notice version(s): 8fcd70b3f3c54343a349a879d41600f4; be9f90f67b12428a83b11f454d1ab2e7; fb9b7df1672449efab9fa5351b335b01. Representative notice chosen by detail score, not outcome. Historical award mapping did not control selection.</t>
        </is>
      </c>
      <c r="AV52" s="2" t="inlineStr">
        <is>
          <t>65425</t>
        </is>
      </c>
    </row>
    <row r="53">
      <c r="A53" s="2" t="inlineStr">
        <is>
          <t>HOS01-052</t>
        </is>
      </c>
      <c r="B53" s="2" t="inlineStr">
        <is>
          <t>394439d8db5c4db09f5bd18622639e27</t>
        </is>
      </c>
      <c r="C53" s="2" t="inlineStr">
        <is>
          <t>N6247323R3203</t>
        </is>
      </c>
      <c r="D53" s="2" t="inlineStr">
        <is>
          <t>https://sam.gov/workspace/contract/opp/394439d8db5c4db09f5bd18622639e27/view</t>
        </is>
      </c>
      <c r="E53" s="2" t="inlineStr">
        <is>
          <t>Solicitation</t>
        </is>
      </c>
      <c r="F53" s="2" t="inlineStr">
        <is>
          <t>2023-02-27</t>
        </is>
      </c>
      <c r="G53" s="2" t="inlineStr">
        <is>
          <t>2023-03-29</t>
        </is>
      </c>
      <c r="H53" s="2" t="inlineStr">
        <is>
          <t>DEPT OF DEFENSE</t>
        </is>
      </c>
      <c r="I53" s="2" t="inlineStr">
        <is>
          <t>DEPT OF THE NAVY</t>
        </is>
      </c>
      <c r="J53" s="2" t="inlineStr">
        <is>
          <t>NAVFACSYSCOM SOUTHWEST</t>
        </is>
      </c>
      <c r="K53" s="2" t="inlineStr">
        <is>
          <t>B234 Electrical Upgrades ? High Voltage Switch and Transformers at Naval Support Activity Monterey (NSAM), Monterey, CA</t>
        </is>
      </c>
      <c r="L53" s="2" t="inlineStr">
        <is>
          <t>CLIN 0001 (FFP): This is a Firm Fixed-Price (FFP) Design-Build (DB) construction project involving partial demolition and replacement of three (3) unit substations (T6, T7, and T9), medium voltage conductors, and low voltage associated components between the transformers and switchboards in Building 234 at Naval Support Activity Monterey (NSAM) ? Halligan Hall. CLIN 0002 (FFP): Optional Item One (1) - Install a spare 5-inch conduit from Manhole 8 to the new Building 234 substation. CLIN 0003 (FFP): Optional Item Two (2) - Provide and install new distribution switchboards, including circuit breakers.</t>
        </is>
      </c>
      <c r="M53" s="2" t="inlineStr">
        <is>
          <t>237130</t>
        </is>
      </c>
      <c r="N53" s="2" t="inlineStr">
        <is>
          <t>Z2CZ</t>
        </is>
      </c>
      <c r="O53" s="2" t="inlineStr">
        <is>
          <t>Women-Owned Small Business</t>
        </is>
      </c>
      <c r="P53" s="2" t="inlineStr">
        <is>
          <t>Unknown pre-award; historical award retained only as answer key when mapped</t>
        </is>
      </c>
      <c r="Q53" s="2" t="inlineStr">
        <is>
          <t>Excluded or control category</t>
        </is>
      </c>
      <c r="R53" s="2" t="inlineStr">
        <is>
          <t>Mixed controls</t>
        </is>
      </c>
      <c r="S53" s="2" t="inlineStr"/>
      <c r="T53" s="2" t="inlineStr">
        <is>
          <t>Archive review required</t>
        </is>
      </c>
      <c r="U53" s="2" t="inlineStr">
        <is>
          <t>Direct notice/resource lookup required</t>
        </is>
      </c>
      <c r="V53" s="2" t="inlineStr">
        <is>
          <t>Yes — 8 notice version(s)</t>
        </is>
      </c>
      <c r="W53" s="2" t="inlineStr">
        <is>
          <t>Unknown — archive retrieval required</t>
        </is>
      </c>
      <c r="X53" s="2" t="inlineStr">
        <is>
          <t>Mapped from 2023-2025 award index</t>
        </is>
      </c>
      <c r="Y53" s="2" t="inlineStr">
        <is>
          <t>https://sam.gov/workspace/contract/opp/8b4193e3b97f4d1aa166d476a82fd730/view</t>
        </is>
      </c>
      <c r="Z53" s="2" t="inlineStr"/>
      <c r="AA53" s="2" t="inlineStr"/>
      <c r="AB53" s="2" t="inlineStr">
        <is>
          <t>Solicitation</t>
        </is>
      </c>
      <c r="AC53" s="2" t="inlineStr">
        <is>
          <t>No parent vehicle indicated at solicitation intake; verify clauses</t>
        </is>
      </c>
      <c r="AD53" s="2" t="inlineStr">
        <is>
          <t>Potentially yes — direct solicitation or combined notice</t>
        </is>
      </c>
      <c r="AE53" s="2" t="inlineStr">
        <is>
          <t>No evidence in metadata; verify solicitation</t>
        </is>
      </c>
      <c r="AF53" s="2" t="inlineStr">
        <is>
          <t>No — socioeconomic set-aside not held by GGG</t>
        </is>
      </c>
      <c r="AG53" s="2" t="inlineStr">
        <is>
          <t>No conflict detected in metadata; exact product review required</t>
        </is>
      </c>
      <c r="AH53" s="2" t="inlineStr">
        <is>
          <t>Exact product/NSN review required</t>
        </is>
      </c>
      <c r="AI53" s="2" t="inlineStr">
        <is>
          <t>Construction / installation / repair / field service</t>
        </is>
      </c>
      <c r="AJ53" s="2" t="inlineStr">
        <is>
          <t>Promising metadata; archive requirements review required</t>
        </is>
      </c>
      <c r="AK53" s="2" t="inlineStr">
        <is>
          <t>Unknown — never infer from award amount</t>
        </is>
      </c>
      <c r="AL53" s="2" t="inlineStr">
        <is>
          <t>Not modeled before archive and supplier-pricing gates</t>
        </is>
      </c>
      <c r="AM53" s="2" t="inlineStr">
        <is>
          <t>Unclassified pending requirements and sourcing</t>
        </is>
      </c>
      <c r="AN53" s="2" t="inlineStr">
        <is>
          <t>Not modeled before supplier pricing</t>
        </is>
      </c>
      <c r="AO53" s="2" t="inlineStr">
        <is>
          <t>0</t>
        </is>
      </c>
      <c r="AP53" s="2" t="inlineStr">
        <is>
          <t>0</t>
        </is>
      </c>
      <c r="AQ53" s="2" t="inlineStr">
        <is>
          <t>Strikeout</t>
        </is>
      </c>
      <c r="AR53" s="2" t="inlineStr">
        <is>
          <t>Gate 4 — GGG eligibility</t>
        </is>
      </c>
      <c r="AS53" s="2" t="inlineStr">
        <is>
          <t>NO-BID / CONTROL</t>
        </is>
      </c>
      <c r="AT53" s="2" t="inlineStr">
        <is>
          <t>Moderate — official extract metadata; direct archive review pending</t>
        </is>
      </c>
      <c r="AU53" s="2" t="inlineStr">
        <is>
          <t>Selection role: Target-lane candidate. Solicitation family contains 8 notice version(s): 394439d8db5c4db09f5bd18622639e27; 72f4914087b64afe99949059602d7f48; a1eec76a4e014fe8b55c5defde628d7b; f2b87a65f1274fd494ca2ef09cf3db00; 8323d82426834458801f13629d02eaa4; a3e047ac2d0c4b4cb48e361347fb7969; 8e1952a01d674ad9a0a10fb84ce4c893; 8b4193e3b97f4d1aa166d476a82fd730. Representative notice chosen by detail score, not outcome. Historical award mapping did not control selection.</t>
        </is>
      </c>
      <c r="AV53" s="2" t="inlineStr">
        <is>
          <t>69782</t>
        </is>
      </c>
    </row>
    <row r="54">
      <c r="A54" s="2" t="inlineStr">
        <is>
          <t>HOS01-053</t>
        </is>
      </c>
      <c r="B54" s="2" t="inlineStr">
        <is>
          <t>66696d5b141f46c5b5a507f0aaac7c7e</t>
        </is>
      </c>
      <c r="C54" s="2" t="inlineStr">
        <is>
          <t>N4008024R2401</t>
        </is>
      </c>
      <c r="D54" s="2" t="inlineStr">
        <is>
          <t>https://sam.gov/workspace/contract/opp/66696d5b141f46c5b5a507f0aaac7c7e/view</t>
        </is>
      </c>
      <c r="E54" s="2" t="inlineStr">
        <is>
          <t>Solicitation</t>
        </is>
      </c>
      <c r="F54" s="2" t="inlineStr">
        <is>
          <t>2024-09-30</t>
        </is>
      </c>
      <c r="G54" s="2" t="inlineStr">
        <is>
          <t>2024-11-22</t>
        </is>
      </c>
      <c r="H54" s="2" t="inlineStr">
        <is>
          <t>DEPT OF DEFENSE</t>
        </is>
      </c>
      <c r="I54" s="2" t="inlineStr">
        <is>
          <t>DEPT OF THE NAVY</t>
        </is>
      </c>
      <c r="J54" s="2" t="inlineStr">
        <is>
          <t>NAVFACSYSCOM WASHINGTON</t>
        </is>
      </c>
      <c r="K54" s="2" t="inlineStr">
        <is>
          <t>INDEFINITE-DELIVERY, INDEFINITE-QUANTITY (IDIQ) MULTIPLE AWARD CONSTRUCTION CONTRACT (MACC) SMALL BUSINESS (SB) SET ASIDE FOR ROOFING SERVICES FOR FACILITIES PRIMARILY IN THE NAVFAC WASHINGTON, AREA OF RESPONSIBILITY (AOR)</t>
        </is>
      </c>
      <c r="L54" s="2" t="inlineStr">
        <is>
          <t xml:space="preserve">This acquisition will result in the award of a Design-Build (DB)/Design- Bid-Build (DBB), Indefinite-Delivery/Indefinite Quantity (IDIQ), Multiple Award Construction Contract (MACC) for various roofing projects within the NAVFAC Washington Area of Responsibility (AOR). The Government intends to award approximately five (5) contracts resulting from this solicitation to the responsible Offerors whose proposals represent the best values after evaluation in accordance with the factors and their relative importance, unless more or less than five (5) is determined to be the best value to the government by the Source Selection Authority.Construction projects to be performed under this MACC will require the ability to manage multiple task orders concurrently across the NAVFAC Washington AOR. This MACC will encompass a variety of projects that include, but are not limited to the New Construction, Demolition, Repair, Alteration, and/or renovation of roofing or roofingmaterials (and may include minor general construction scope such as architectural, structural, mechanical or electrical items). Task Orders may include, but not limited to, removal and reinstallation of existing roof mounted equipment and enclosures, ?cut-out? demolition and installation of framing and curbing for new, and/or replacedequipment, ?patching-in? around new equipment, secure and disconnect electrical, gas, refrigeration, steam and condensate and other process services in conjunction with ?remove and reinstall? or ?install new? equipment during accomplishment roofing work, roofing demolition and debris handling and disposal, installation of new roofing,scheduled repair of existing roofs, emergency roof repair, repair or replacement of roof drains, connector piping, drain pans, gutters and leaders, parapet </t>
        </is>
      </c>
      <c r="M54" s="2" t="inlineStr">
        <is>
          <t>238160</t>
        </is>
      </c>
      <c r="N54" s="2" t="inlineStr">
        <is>
          <t>Y1JZ</t>
        </is>
      </c>
      <c r="O54" s="2" t="inlineStr">
        <is>
          <t>Total Small Business Set-Aside (FAR 19.5)</t>
        </is>
      </c>
      <c r="P54" s="2" t="inlineStr">
        <is>
          <t>Unknown pre-award; historical award retained only as answer key when mapped</t>
        </is>
      </c>
      <c r="Q54" s="2" t="inlineStr">
        <is>
          <t>Excluded or control category</t>
        </is>
      </c>
      <c r="R54" s="2" t="inlineStr">
        <is>
          <t>MRO tools and commercial hardware</t>
        </is>
      </c>
      <c r="S54" s="2" t="inlineStr">
        <is>
          <t>Washington Navy Yard, DC, 20374, USA</t>
        </is>
      </c>
      <c r="T54" s="2" t="inlineStr">
        <is>
          <t>Washington Navy Yard, DC, 20374, USA</t>
        </is>
      </c>
      <c r="U54" s="2" t="inlineStr">
        <is>
          <t>Direct notice/resource lookup required</t>
        </is>
      </c>
      <c r="V54" s="2" t="inlineStr">
        <is>
          <t>Yes — 19 notice version(s)</t>
        </is>
      </c>
      <c r="W54" s="2" t="inlineStr">
        <is>
          <t>Unknown — archive retrieval required</t>
        </is>
      </c>
      <c r="X54" s="2" t="inlineStr">
        <is>
          <t>Mapped from 2023-2025 award index</t>
        </is>
      </c>
      <c r="Y54" s="2" t="inlineStr">
        <is>
          <t>https://sam.gov/workspace/contract/opp/bb98279dcd644ba093e4cc803c651e43/view</t>
        </is>
      </c>
      <c r="Z54" s="2" t="inlineStr"/>
      <c r="AA54" s="2" t="inlineStr"/>
      <c r="AB54" s="2" t="inlineStr">
        <is>
          <t>Solicitation</t>
        </is>
      </c>
      <c r="AC54" s="2" t="inlineStr">
        <is>
          <t>No parent vehicle indicated at solicitation intake; verify clauses</t>
        </is>
      </c>
      <c r="AD54" s="2" t="inlineStr">
        <is>
          <t>Potentially yes — direct solicitation or combined notice</t>
        </is>
      </c>
      <c r="AE54" s="2" t="inlineStr">
        <is>
          <t>No evidence in metadata; verify solicitation</t>
        </is>
      </c>
      <c r="AF54" s="2" t="inlineStr">
        <is>
          <t>Potentially yes — subject to historical SAM registration and representations</t>
        </is>
      </c>
      <c r="AG54" s="2" t="inlineStr">
        <is>
          <t>No conflict detected in metadata; exact product review required</t>
        </is>
      </c>
      <c r="AH54" s="2" t="inlineStr">
        <is>
          <t>Exact product/NSN review required</t>
        </is>
      </c>
      <c r="AI54" s="2" t="inlineStr">
        <is>
          <t>Construction / installation / repair / field service</t>
        </is>
      </c>
      <c r="AJ54" s="2" t="inlineStr">
        <is>
          <t>Promising metadata; archive requirements review required</t>
        </is>
      </c>
      <c r="AK54" s="2" t="inlineStr">
        <is>
          <t>Unknown — never infer from award amount</t>
        </is>
      </c>
      <c r="AL54" s="2" t="inlineStr">
        <is>
          <t>Not modeled before archive and supplier-pricing gates</t>
        </is>
      </c>
      <c r="AM54" s="2" t="inlineStr">
        <is>
          <t>Unclassified pending requirements and sourcing</t>
        </is>
      </c>
      <c r="AN54" s="2" t="inlineStr">
        <is>
          <t>Not modeled before supplier pricing</t>
        </is>
      </c>
      <c r="AO54" s="2" t="inlineStr">
        <is>
          <t>90</t>
        </is>
      </c>
      <c r="AP54" s="2" t="inlineStr">
        <is>
          <t>0</t>
        </is>
      </c>
      <c r="AQ54" s="2" t="inlineStr">
        <is>
          <t>Strikeout</t>
        </is>
      </c>
      <c r="AR54" s="2" t="inlineStr">
        <is>
          <t>Gate 6 — product/service exclusion</t>
        </is>
      </c>
      <c r="AS54" s="2" t="inlineStr">
        <is>
          <t>NO-BID / CONTROL</t>
        </is>
      </c>
      <c r="AT54" s="2" t="inlineStr">
        <is>
          <t>Moderate — official extract metadata; direct archive review pending</t>
        </is>
      </c>
      <c r="AU54" s="2" t="inlineStr">
        <is>
          <t>Selection role: Target-lane candidate. Solicitation family contains 19 notice version(s): 0ee6292357dd4e6b96aa99aaf41db205; f206df246c2644faa432ec40defe2832; e9a33be63a2f4e2185db9bc46296e883; 398a2f184b56420fb6b64c6b574603a0; b911fbf827dc4eed8c7a715f59eff418; 38c6d9b226df4cf3a7b157ba98b38eea; 54274d1be698482386587b328365372a; 473e8a2279f048989c42751d37a0127c; 2ebc5bcde9834a85be4ab95cf4edc2e7; 5211a83523ac4e8c86ebe42f90083da0; b6051611e85f4c8cbb66e308f70543cc; d6e583c31d194683960f740c2d031e64; 6765d87da7bc442c952cc396c0d3e8d6; 7c936694a4164cc3b4c8b134f12a70d9; 481822b3b3cd45b3b8216a55a8f7cd5f; 66696d5b141f46c5b5a507f0aaac7c7e; 56ce784b5e224cb087b86c3cc51dfb3b; 6d4cb3fd92314393a8e3250eb1d4eb96; 911c22d3e92d410eaf966c8b071a3222. Representative notice chosen by detail score, not outcome. Historical award mapping did not control selection.</t>
        </is>
      </c>
      <c r="AV54" s="2" t="inlineStr">
        <is>
          <t>64791</t>
        </is>
      </c>
    </row>
    <row r="55">
      <c r="A55" s="2" t="inlineStr">
        <is>
          <t>HOS01-054</t>
        </is>
      </c>
      <c r="B55" s="2" t="inlineStr">
        <is>
          <t>be20996621714ec8a581d12255d2f742</t>
        </is>
      </c>
      <c r="C55" s="2" t="inlineStr">
        <is>
          <t>W912P624B0007</t>
        </is>
      </c>
      <c r="D55" s="2" t="inlineStr">
        <is>
          <t>https://sam.gov/workspace/contract/opp/be20996621714ec8a581d12255d2f742/view</t>
        </is>
      </c>
      <c r="E55" s="2" t="inlineStr">
        <is>
          <t>Solicitation</t>
        </is>
      </c>
      <c r="F55" s="2" t="inlineStr">
        <is>
          <t>2024-05-01</t>
        </is>
      </c>
      <c r="G55" s="2" t="inlineStr">
        <is>
          <t>2024-06-12</t>
        </is>
      </c>
      <c r="H55" s="2" t="inlineStr">
        <is>
          <t>DEPT OF DEFENSE</t>
        </is>
      </c>
      <c r="I55" s="2" t="inlineStr">
        <is>
          <t>DEPT OF THE ARMY</t>
        </is>
      </c>
      <c r="J55" s="2" t="inlineStr">
        <is>
          <t>W072 ENDIST CHICAGO</t>
        </is>
      </c>
      <c r="K55" s="2" t="inlineStr">
        <is>
          <t>Solicitation W912P624B0007 GARY AIRPORT SANITARY SEWER IMPROVEMENTS - SECTION 219, GARY, LAKE COUNTY, INDIANA (USACE ACQUISITION)</t>
        </is>
      </c>
      <c r="L55" s="2" t="inlineStr">
        <is>
          <t>EFFECTIVE JUNE 12, 2024: The government has attached the Bid Opening Results (please refer to the Attachments Section of this Notice).***** ** Administrative edit for the response time zone which was set at Central Standard Time to Central Daylight Time. The response time is not changed and are due one prior to the bid opening. ** *****TIME OF BID SUBMISSION: Bids are required one hour prior the time specified on Page 1 of this Solicitation, Block #13a. Please note, FAR Subpart 14.302 Bid submission; Bids shall be submitted so that they will be received in the office designated in the invitation for bids not later than the exact time set for opening of bids.***** VIRTUAL BID OPENING INFORMATION: THE VIRTUAL BID OPENING WILL BE CONDUCTED ON JUNE 12, 2024 AT 2:00 P.M. (CENTRAL TIME). AT THE DESIGNATED DAY AND TIME, PLEASE JOIN BY: MEETING LINK: https://usace1.webex.com/usace1/j.php?MTID=m58412351cc02d87e7eef80328270c9d9. Meeting number (access code): 2825 703 3158. Meeting password: QpbVMRQ@433. OR, JOIN BY PHONE: 1-844-800-2712 US Toll Free. 1-669-234-1177 US Toll. Access code: 2825 703 3158. Conf ID: press the # sign. *** EFFECTIVE JUNE 4, 2024: The government has posted Amendment No. 0003 hereunder this Notice (please refer to the Attachments Section).*** EFFECTIVE MAY 30, 2024: The government has posted Amendment No. 0002 hereunder this Notice (please refer to the Attachments Section).*** EFFECTIVE MAY 13, 2024: The government has posted Amendment No. 0001 hereunder this Notice (please refer to the Attachments Section).*** Under this Solicitation, the United States Army Corps of Engineers - Chicago District issues Solicitation No. W912P624B0007 for bidding purposes. Therefore, provided hereunder is the relevant bid package for its construction project entitled, Gary A</t>
        </is>
      </c>
      <c r="M55" s="2" t="inlineStr">
        <is>
          <t>237110</t>
        </is>
      </c>
      <c r="N55" s="2" t="inlineStr">
        <is>
          <t>Y1PZ</t>
        </is>
      </c>
      <c r="O55" s="2" t="inlineStr">
        <is>
          <t>Total Small Business Set-Aside (FAR 19.5)</t>
        </is>
      </c>
      <c r="P55" s="2" t="inlineStr">
        <is>
          <t>Unknown pre-award; historical award retained only as answer key when mapped</t>
        </is>
      </c>
      <c r="Q55" s="2" t="inlineStr">
        <is>
          <t>Excluded or control category</t>
        </is>
      </c>
      <c r="R55" s="2" t="inlineStr">
        <is>
          <t>MRO tools and commercial hardware</t>
        </is>
      </c>
      <c r="S55" s="2" t="inlineStr">
        <is>
          <t>Gary, IN, USA</t>
        </is>
      </c>
      <c r="T55" s="2" t="inlineStr">
        <is>
          <t>Gary, IN, USA</t>
        </is>
      </c>
      <c r="U55" s="2" t="inlineStr">
        <is>
          <t>Direct notice/resource lookup required</t>
        </is>
      </c>
      <c r="V55" s="2" t="inlineStr">
        <is>
          <t>Yes — 10 notice version(s)</t>
        </is>
      </c>
      <c r="W55" s="2" t="inlineStr">
        <is>
          <t>Unknown — archive retrieval required</t>
        </is>
      </c>
      <c r="X55" s="2" t="inlineStr">
        <is>
          <t>Mapped from 2023-2025 award index</t>
        </is>
      </c>
      <c r="Y55" s="2" t="inlineStr">
        <is>
          <t>https://sam.gov/workspace/contract/opp/be20996621714ec8a581d12255d2f742/view</t>
        </is>
      </c>
      <c r="Z55" s="2" t="inlineStr"/>
      <c r="AA55" s="2" t="inlineStr"/>
      <c r="AB55" s="2" t="inlineStr">
        <is>
          <t>Solicitation</t>
        </is>
      </c>
      <c r="AC55" s="2" t="inlineStr">
        <is>
          <t>No parent vehicle indicated at solicitation intake; verify clauses</t>
        </is>
      </c>
      <c r="AD55" s="2" t="inlineStr">
        <is>
          <t>Potentially yes — direct solicitation or combined notice</t>
        </is>
      </c>
      <c r="AE55" s="2" t="inlineStr">
        <is>
          <t>No evidence in metadata; verify solicitation</t>
        </is>
      </c>
      <c r="AF55" s="2" t="inlineStr">
        <is>
          <t>Potentially yes — subject to historical SAM registration and representations</t>
        </is>
      </c>
      <c r="AG55" s="2" t="inlineStr">
        <is>
          <t>No conflict detected in metadata; exact product review required</t>
        </is>
      </c>
      <c r="AH55" s="2" t="inlineStr">
        <is>
          <t>Exact product/NSN review required</t>
        </is>
      </c>
      <c r="AI55" s="2" t="inlineStr">
        <is>
          <t>Construction / installation / repair / field service</t>
        </is>
      </c>
      <c r="AJ55" s="2" t="inlineStr">
        <is>
          <t>Promising metadata; archive requirements review required</t>
        </is>
      </c>
      <c r="AK55" s="2" t="inlineStr">
        <is>
          <t>Unknown — never infer from award amount</t>
        </is>
      </c>
      <c r="AL55" s="2" t="inlineStr">
        <is>
          <t>Not modeled before archive and supplier-pricing gates</t>
        </is>
      </c>
      <c r="AM55" s="2" t="inlineStr">
        <is>
          <t>Unclassified pending requirements and sourcing</t>
        </is>
      </c>
      <c r="AN55" s="2" t="inlineStr">
        <is>
          <t>Not modeled before supplier pricing</t>
        </is>
      </c>
      <c r="AO55" s="2" t="inlineStr">
        <is>
          <t>90</t>
        </is>
      </c>
      <c r="AP55" s="2" t="inlineStr">
        <is>
          <t>0</t>
        </is>
      </c>
      <c r="AQ55" s="2" t="inlineStr">
        <is>
          <t>Strikeout</t>
        </is>
      </c>
      <c r="AR55" s="2" t="inlineStr">
        <is>
          <t>Gate 6 — product/service exclusion</t>
        </is>
      </c>
      <c r="AS55" s="2" t="inlineStr">
        <is>
          <t>NO-BID / CONTROL</t>
        </is>
      </c>
      <c r="AT55" s="2" t="inlineStr">
        <is>
          <t>Moderate — official extract metadata; direct archive review pending</t>
        </is>
      </c>
      <c r="AU55" s="2" t="inlineStr">
        <is>
          <t>Selection role: Target-lane candidate. Solicitation family contains 10 notice version(s): cf692f3614524f3e9c5f197214247552; 90ac290b1a614b649cabc159c742e6ef; 4e2b2dc7c6d74be2ba8e3193001251f5; 59385726cc5b48e6beba8982c4bd0993; cf879f432dae4828a4249f126f6dca50; 45efc691a419457d9afc0a50945aa83c; 7e427ef15b7b43b6acd9b3d02dff7079; 17a0dbaa5bac4a1e9f77d23df92275ea; be20996621714ec8a581d12255d2f742; 1dcc8d3f54614ed3b930e02b50c16a1c. Representative notice chosen by detail score, not outcome. Historical award mapping did not control selection.</t>
        </is>
      </c>
      <c r="AV55" s="2" t="inlineStr">
        <is>
          <t>66270</t>
        </is>
      </c>
    </row>
    <row r="56">
      <c r="A56" s="2" t="inlineStr">
        <is>
          <t>HOS01-055</t>
        </is>
      </c>
      <c r="B56" s="2" t="inlineStr">
        <is>
          <t>95b48c149b3b428d953d46ee51695cc3</t>
        </is>
      </c>
      <c r="C56" s="2" t="inlineStr">
        <is>
          <t>W912HQ24R0015</t>
        </is>
      </c>
      <c r="D56" s="2" t="inlineStr">
        <is>
          <t>https://sam.gov/workspace/contract/opp/95b48c149b3b428d953d46ee51695cc3/view</t>
        </is>
      </c>
      <c r="E56" s="2" t="inlineStr">
        <is>
          <t>Solicitation</t>
        </is>
      </c>
      <c r="F56" s="2" t="inlineStr">
        <is>
          <t>2024-10-08</t>
        </is>
      </c>
      <c r="G56" s="2" t="inlineStr">
        <is>
          <t>2024-11-22</t>
        </is>
      </c>
      <c r="H56" s="2" t="inlineStr">
        <is>
          <t>DEPT OF DEFENSE</t>
        </is>
      </c>
      <c r="I56" s="2" t="inlineStr">
        <is>
          <t>DEPT OF THE ARMY</t>
        </is>
      </c>
      <c r="J56" s="2" t="inlineStr">
        <is>
          <t>W4LD USA HECSA</t>
        </is>
      </c>
      <c r="K56" s="2" t="inlineStr">
        <is>
          <t>Navigation and Civil Works Data Analysis and System Support Professional Services</t>
        </is>
      </c>
      <c r="L56" s="2" t="inlineStr">
        <is>
          <t xml:space="preserve">This announcement constitutes a Request for Proposals (RFP) in accordanxce with Federal Acquisition Regulation (FAR) Part 15 "Contracting by Negotiation". This procurement will be conducted as a partial small business set-aside in accordance with FAR Subpart 19.5. The Government anticpates award of a Multiple Award Indefinite Delivery Indefinite Quantity (IDIQ) contract with a five (5) year period of performance consisting of one base year, four (4) one-year options and one six-month option to extend services. All task orders issued against this IDIQ will be Firm Fixed Price. Award will be made based on the best value to the Government using a subjective tradeoff source selection process. Please note all RFP amendments or other publicly releasable information will reside within this announcement in the Contract Opportunities section of SAM.gov. To be eligible for award, Offeror must be registered in SAM.gov. No paper copes of the RFP will be issued. No paper copies of proposals will be accepted. Offerors are responsible themselves to check SAM.gov for amendments to this RFP. Questions should be addressed to the Primary Point of Contact listed in this announcement, Mr. David A. Kaplan, Contract Specialist at email David.A.Kaplan@usace.army.mil and a copy submitted to the Secondary Point of Contact, Mr. Douglas E. Pohlman, Contracting Officer at email: Douglas.E.Pohlman@usace.army.mil. The Government will consider all correspondence submitted prior to the deadline for questions, but will not issue individual responses. No questions will be accepted via telephone with the exception of the pre-proposal conference scheduled for Monday 21 October 2024 at 11:00AM US Eastern Daylight Time (EDT). No individual meetings with offerors will be scheduled. Voicemails or requests for </t>
        </is>
      </c>
      <c r="M56" s="2" t="inlineStr">
        <is>
          <t>541618</t>
        </is>
      </c>
      <c r="N56" s="2" t="inlineStr">
        <is>
          <t>R499</t>
        </is>
      </c>
      <c r="O56" s="2" t="inlineStr">
        <is>
          <t>Partial Small Business Set-Aside (FAR 19.5)</t>
        </is>
      </c>
      <c r="P56" s="2" t="inlineStr">
        <is>
          <t>Unknown pre-award; historical award retained only as answer key when mapped</t>
        </is>
      </c>
      <c r="Q56" s="2" t="inlineStr">
        <is>
          <t>Excluded or control category</t>
        </is>
      </c>
      <c r="R56" s="2" t="inlineStr">
        <is>
          <t>Mixed controls</t>
        </is>
      </c>
      <c r="S56" s="2" t="inlineStr">
        <is>
          <t>Alexandria, VA, USA</t>
        </is>
      </c>
      <c r="T56" s="2" t="inlineStr">
        <is>
          <t>Alexandria, VA, USA</t>
        </is>
      </c>
      <c r="U56" s="2" t="inlineStr">
        <is>
          <t>Direct notice/resource lookup required</t>
        </is>
      </c>
      <c r="V56" s="2" t="inlineStr">
        <is>
          <t>Yes — 5 notice version(s)</t>
        </is>
      </c>
      <c r="W56" s="2" t="inlineStr">
        <is>
          <t>Unknown — archive retrieval required</t>
        </is>
      </c>
      <c r="X56" s="2" t="inlineStr">
        <is>
          <t>Not yet recovered</t>
        </is>
      </c>
      <c r="Y56" s="2" t="inlineStr"/>
      <c r="Z56" s="2" t="inlineStr"/>
      <c r="AA56" s="2" t="inlineStr"/>
      <c r="AB56" s="2" t="inlineStr"/>
      <c r="AC56" s="2" t="inlineStr">
        <is>
          <t>No parent vehicle indicated at solicitation intake; verify clauses</t>
        </is>
      </c>
      <c r="AD56" s="2" t="inlineStr">
        <is>
          <t>Potentially yes — direct solicitation or combined notice</t>
        </is>
      </c>
      <c r="AE56" s="2" t="inlineStr">
        <is>
          <t>No evidence in metadata; verify solicitation</t>
        </is>
      </c>
      <c r="AF56" s="2" t="inlineStr">
        <is>
          <t>Potentially yes — subject to historical SAM registration and representations</t>
        </is>
      </c>
      <c r="AG56" s="2" t="inlineStr">
        <is>
          <t>No conflict detected in metadata; exact product review required</t>
        </is>
      </c>
      <c r="AH56" s="2" t="inlineStr">
        <is>
          <t>Exact product/NSN review required</t>
        </is>
      </c>
      <c r="AI56" s="2" t="inlineStr">
        <is>
          <t>Rental / lease</t>
        </is>
      </c>
      <c r="AJ56" s="2" t="inlineStr">
        <is>
          <t>Promising metadata; archive requirements review required</t>
        </is>
      </c>
      <c r="AK56" s="2" t="inlineStr">
        <is>
          <t>Unknown — never infer from award amount</t>
        </is>
      </c>
      <c r="AL56" s="2" t="inlineStr">
        <is>
          <t>Not modeled before archive and supplier-pricing gates</t>
        </is>
      </c>
      <c r="AM56" s="2" t="inlineStr">
        <is>
          <t>Unclassified pending requirements and sourcing</t>
        </is>
      </c>
      <c r="AN56" s="2" t="inlineStr">
        <is>
          <t>Not modeled before supplier pricing</t>
        </is>
      </c>
      <c r="AO56" s="2" t="inlineStr">
        <is>
          <t>90</t>
        </is>
      </c>
      <c r="AP56" s="2" t="inlineStr">
        <is>
          <t>0</t>
        </is>
      </c>
      <c r="AQ56" s="2" t="inlineStr">
        <is>
          <t>Strikeout</t>
        </is>
      </c>
      <c r="AR56" s="2" t="inlineStr">
        <is>
          <t>Gate 6 — product/service exclusion</t>
        </is>
      </c>
      <c r="AS56" s="2" t="inlineStr">
        <is>
          <t>NO-BID / CONTROL</t>
        </is>
      </c>
      <c r="AT56" s="2" t="inlineStr">
        <is>
          <t>Moderate — official extract metadata; direct archive review pending</t>
        </is>
      </c>
      <c r="AU56" s="2" t="inlineStr">
        <is>
          <t>Selection role: Target-lane candidate. Solicitation family contains 5 notice version(s): 1c02d12cf2274db4a3814ae72544e248; 3183fe7da5234c2f8aa7db0dafc5f4f2; 5bec35cdfa9b455fbfca1f2dc87a3b00; b19832f0d9814b6ba10607c14e885534; 95b48c149b3b428d953d46ee51695cc3. Representative notice chosen by detail score, not outcome. Historical award mapping did not control selection.</t>
        </is>
      </c>
      <c r="AV56" s="2" t="inlineStr">
        <is>
          <t>64811</t>
        </is>
      </c>
    </row>
    <row r="57">
      <c r="A57" s="2" t="inlineStr">
        <is>
          <t>HOS01-056</t>
        </is>
      </c>
      <c r="B57" s="2" t="inlineStr">
        <is>
          <t>2716a22155e3433b96b4613a3141a126</t>
        </is>
      </c>
      <c r="C57" s="2" t="inlineStr">
        <is>
          <t>FA8212-23-R-0004</t>
        </is>
      </c>
      <c r="D57" s="2" t="inlineStr">
        <is>
          <t>https://sam.gov/workspace/contract/opp/2716a22155e3433b96b4613a3141a126/view</t>
        </is>
      </c>
      <c r="E57" s="2" t="inlineStr">
        <is>
          <t>Solicitation</t>
        </is>
      </c>
      <c r="F57" s="2" t="inlineStr">
        <is>
          <t>2023-05-01</t>
        </is>
      </c>
      <c r="G57" s="2" t="inlineStr">
        <is>
          <t>2023-06-28</t>
        </is>
      </c>
      <c r="H57" s="2" t="inlineStr">
        <is>
          <t>DEPT OF DEFENSE</t>
        </is>
      </c>
      <c r="I57" s="2" t="inlineStr">
        <is>
          <t>DEPT OF THE AIR FORCE</t>
        </is>
      </c>
      <c r="J57" s="2" t="inlineStr">
        <is>
          <t>FA8212  AFSC OLH PZABA</t>
        </is>
      </c>
      <c r="K57" s="2" t="inlineStr">
        <is>
          <t>F-16 DOH HUD Combiner Assy</t>
        </is>
      </c>
      <c r="L57" s="2" t="inlineStr">
        <is>
          <t>1. Requirement: F-16 HUD Combiner Assembly P/N: 049836 NSN: 1270-99-179-7577 WF (Est. Max Qty 200EA) 2. Contract Type: Cost-Plus-Fixed-Fee (CPFF) Production Contract, 5 Year Requirements Contract Type � Single Award. 3. Acquistion Type: Sole Source to the Original Equipment Manufacturer (OEM) Qioptic Limited (K6111). The OEM owns the technical drawings and thus, is Design Authority. Attached is the sole source Justification and Approval (J&amp;A). Qioptic Limited (K6111) Address: Glascoed Road, St. Asaph, Denbighshire, L170LL, United Kingdom (UK). 4. All responsible sources may submit a capability statement, proposal, or quotation, which shall be considered by the agency.</t>
        </is>
      </c>
      <c r="M57" s="2" t="inlineStr">
        <is>
          <t>334419</t>
        </is>
      </c>
      <c r="N57" s="2" t="inlineStr">
        <is>
          <t>1270</t>
        </is>
      </c>
      <c r="O57" s="2" t="inlineStr"/>
      <c r="P57" s="2" t="inlineStr">
        <is>
          <t>Unknown pre-award; historical award retained only as answer key when mapped</t>
        </is>
      </c>
      <c r="Q57" s="2" t="inlineStr">
        <is>
          <t>Product / commercial supply candidate</t>
        </is>
      </c>
      <c r="R57" s="2" t="inlineStr">
        <is>
          <t>Mixed controls</t>
        </is>
      </c>
      <c r="S57" s="2" t="inlineStr"/>
      <c r="T57" s="2" t="inlineStr">
        <is>
          <t>Archive review required</t>
        </is>
      </c>
      <c r="U57" s="2" t="inlineStr">
        <is>
          <t>Direct notice/resource lookup required</t>
        </is>
      </c>
      <c r="V57" s="2" t="inlineStr">
        <is>
          <t>Yes — 3 notice version(s)</t>
        </is>
      </c>
      <c r="W57" s="2" t="inlineStr">
        <is>
          <t>Unknown — archive retrieval required</t>
        </is>
      </c>
      <c r="X57" s="2" t="inlineStr">
        <is>
          <t>Not yet recovered</t>
        </is>
      </c>
      <c r="Y57" s="2" t="inlineStr"/>
      <c r="Z57" s="2" t="inlineStr"/>
      <c r="AA57" s="2" t="inlineStr"/>
      <c r="AB57" s="2" t="inlineStr"/>
      <c r="AC57" s="2" t="inlineStr">
        <is>
          <t>No parent vehicle indicated at solicitation intake; verify clauses</t>
        </is>
      </c>
      <c r="AD57" s="2" t="inlineStr">
        <is>
          <t>Potentially yes — direct solicitation or combined notice</t>
        </is>
      </c>
      <c r="AE57" s="2" t="inlineStr">
        <is>
          <t>No evidence in metadata; verify solicitation</t>
        </is>
      </c>
      <c r="AF57" s="2" t="inlineStr">
        <is>
          <t>Potentially yes — subject to historical SAM registration and representations</t>
        </is>
      </c>
      <c r="AG57" s="2" t="inlineStr">
        <is>
          <t>No conflict detected in metadata; exact product review required</t>
        </is>
      </c>
      <c r="AH57" s="2" t="inlineStr">
        <is>
          <t>Exact product/NSN review required</t>
        </is>
      </c>
      <c r="AI57" s="2" t="inlineStr">
        <is>
          <t>Pass / no automatic exclusion detected</t>
        </is>
      </c>
      <c r="AJ57" s="2" t="inlineStr">
        <is>
          <t>Promising metadata; archive requirements review required</t>
        </is>
      </c>
      <c r="AK57" s="2" t="inlineStr">
        <is>
          <t>Unknown — never infer from award amount</t>
        </is>
      </c>
      <c r="AL57" s="2" t="inlineStr">
        <is>
          <t>Not modeled before archive and supplier-pricing gates</t>
        </is>
      </c>
      <c r="AM57" s="2" t="inlineStr">
        <is>
          <t>Unclassified pending requirements and sourcing</t>
        </is>
      </c>
      <c r="AN57" s="2" t="inlineStr">
        <is>
          <t>Not modeled before supplier pricing</t>
        </is>
      </c>
      <c r="AO57" s="2" t="inlineStr">
        <is>
          <t>90</t>
        </is>
      </c>
      <c r="AP57" s="2" t="inlineStr">
        <is>
          <t>60</t>
        </is>
      </c>
      <c r="AQ57" s="2" t="inlineStr">
        <is>
          <t>Double</t>
        </is>
      </c>
      <c r="AR57" s="2" t="inlineStr">
        <is>
          <t>Passes Gates 1-6 preliminarily; Gate 7 archive review pending</t>
        </is>
      </c>
      <c r="AS57" s="2" t="inlineStr">
        <is>
          <t>REVIEW — archive reconstruction</t>
        </is>
      </c>
      <c r="AT57" s="2" t="inlineStr">
        <is>
          <t>Moderate — official extract metadata; direct archive review pending</t>
        </is>
      </c>
      <c r="AU57" s="2" t="inlineStr">
        <is>
          <t>Selection role: Target-lane candidate. Solicitation family contains 3 notice version(s): 081689ab541a488b9f05c88ecd3c8877; b2d8b7f4f53045618570902d9d1ffe6b; 2716a22155e3433b96b4613a3141a126. Representative notice chosen by detail score, not outcome. Historical award mapping did not control selection.</t>
        </is>
      </c>
      <c r="AV57" s="2" t="inlineStr">
        <is>
          <t>69033</t>
        </is>
      </c>
    </row>
    <row r="58">
      <c r="A58" s="2" t="inlineStr">
        <is>
          <t>HOS01-057</t>
        </is>
      </c>
      <c r="B58" s="2" t="inlineStr">
        <is>
          <t>5c01af64d5ac474c95c03e3cd14383e4</t>
        </is>
      </c>
      <c r="C58" s="2" t="inlineStr">
        <is>
          <t>N0038324QM368</t>
        </is>
      </c>
      <c r="D58" s="2" t="inlineStr">
        <is>
          <t>https://sam.gov/workspace/contract/opp/5c01af64d5ac474c95c03e3cd14383e4/view</t>
        </is>
      </c>
      <c r="E58" s="2" t="inlineStr">
        <is>
          <t>Solicitation</t>
        </is>
      </c>
      <c r="F58" s="2" t="inlineStr">
        <is>
          <t>2024-10-11</t>
        </is>
      </c>
      <c r="G58" s="2" t="inlineStr">
        <is>
          <t>2024-12-20</t>
        </is>
      </c>
      <c r="H58" s="2" t="inlineStr">
        <is>
          <t>DEPT OF DEFENSE</t>
        </is>
      </c>
      <c r="I58" s="2" t="inlineStr">
        <is>
          <t>DEPT OF THE NAVY</t>
        </is>
      </c>
      <c r="J58" s="2" t="inlineStr">
        <is>
          <t>NAVSUP WEAPON SYSTEMS SUPPORT</t>
        </is>
      </c>
      <c r="K58" s="2" t="inlineStr">
        <is>
          <t>48--VALVE,REGULATING,FL</t>
        </is>
      </c>
      <c r="L58" s="2" t="inlineStr">
        <is>
          <t>CONTACT INFORMATION|4|N761.37|WRA|215-697-2983|Ethan.Stein@navy.mil| ITEM UNIQUE IDENTIFICATION AND VALUATION (JAN 2023)|19|||||||||||||||||||| HIGHER-LEVEL CONTRACT QUALITY REQUIREMENT|8|X|||||||| INSPECTION AND ACCEPTANCE OF SUPPLIES|26|X|||||||||||||||||||||||||| WIDE AREA WORKFLOW PAYMENT INSTRUCTIONS (JAN 2023)|16|INVOICE AND RECEIVING REPORT COMBO TYPE|SOURCE/SOURCE|TBD|N00383|TBD|TBD|SEE SCEHDULE|TBD|||TBD|||||| NAVY USE OF ABILITYONE SUPPORT CONTRACTOR - RELEASE OF OFFEROR INFORMATION (3-18))|1|| EQUAL OPPORTUNITY (SEP 2016)|2||| WARRANTY OF SUPPLIES OF A NONCOMPLEX NATURE (JUN 2003)|6|12 MONTHS |60 DAYS AFTER DISCOVERY OF DEFECT||||| EQUAL OPPORTUITY FOR WORKERS WITH DISABILITIES (JUN 2020)|2||| BUY AMERICAN-FREE TRADE AGREEMENTS-BALANCE OF PAYMENTS PROGRAM-BASIC (FEB 2024)|11|||||||||||| ALTERNATE A, ANNUAL REPRESENTATIONS AND CERTIFICATIONS (OCT 2024)|13|||||||||||||| BUY AMERICAN-FREE TRADE AGREEMENTS-BALANCE OF PAYMENTS PROGRAM CERTIFICATE-BASIC (FEB 2024))|5|||||| BUY AMERICAN--BALANCE OF PAYMENTS PROGRAM (FEB 2024)|1|| ROYALTY INFORMATION (APR 1984)|1|| ANNUAL REPRESENTATIONS AND CERTIFICATIONS (MAY 2024)|12|332911|750||||||||||| FACSIMILE PROPOSALS (OCT 1997)|1|| NOTICE OF PRIORITY RATING FOR NATIONAL DEFENSE, EMERGENCY PREPAREDNESS, ANDENERGY PROGRAM USE (APR 2008))|2|DO-A1A || The purpose of this amendment is to change the quantity to 10EA. THIS REQUEST FOR QUOTE IS FOR THE FURNISHING OF: NOMEN: VALVE,REGULATING,FL NSN: 7RH 1680 016047492 E7 QTY: 2EA THESE ITEMS REQUIRE GOVERNMENT SOURCE APPROVAL PRIOR TO AWARD. IF YOU ARE NOTAN APPROVED SOURCE, YOU MUST SUBMIT, TOGETHER WITH YOUR PROPOSAL, THEINFORMATION DETAILED IN THE NAVSUP WSS SOURCE APPROVAL BROCHURE, WHICH CAN BEOBTAINED ONLINE AT h https://www.navsup.navy.mil/public/navsup/wss/business_opps/ UN</t>
        </is>
      </c>
      <c r="M58" s="2" t="inlineStr">
        <is>
          <t>332919</t>
        </is>
      </c>
      <c r="N58" s="2" t="inlineStr">
        <is>
          <t>4820</t>
        </is>
      </c>
      <c r="O58" s="2" t="inlineStr"/>
      <c r="P58" s="2" t="inlineStr">
        <is>
          <t>Unknown pre-award; historical award retained only as answer key when mapped</t>
        </is>
      </c>
      <c r="Q58" s="2" t="inlineStr">
        <is>
          <t>Excluded or control category</t>
        </is>
      </c>
      <c r="R58" s="2" t="inlineStr">
        <is>
          <t>MRO tools and commercial hardware</t>
        </is>
      </c>
      <c r="S58" s="2" t="inlineStr"/>
      <c r="T58" s="2" t="inlineStr">
        <is>
          <t>Archive review required</t>
        </is>
      </c>
      <c r="U58" s="2" t="inlineStr">
        <is>
          <t>Direct notice/resource lookup required</t>
        </is>
      </c>
      <c r="V58" s="2" t="inlineStr">
        <is>
          <t>Yes — 2 notice version(s)</t>
        </is>
      </c>
      <c r="W58" s="2" t="inlineStr">
        <is>
          <t>Unknown — archive retrieval required</t>
        </is>
      </c>
      <c r="X58" s="2" t="inlineStr">
        <is>
          <t>Not yet recovered</t>
        </is>
      </c>
      <c r="Y58" s="2" t="inlineStr"/>
      <c r="Z58" s="2" t="inlineStr"/>
      <c r="AA58" s="2" t="inlineStr"/>
      <c r="AB58" s="2" t="inlineStr"/>
      <c r="AC58" s="2" t="inlineStr">
        <is>
          <t>No parent vehicle indicated at solicitation intake; verify clauses</t>
        </is>
      </c>
      <c r="AD58" s="2" t="inlineStr">
        <is>
          <t>Potentially yes — direct solicitation or combined notice</t>
        </is>
      </c>
      <c r="AE58" s="2" t="inlineStr">
        <is>
          <t>No evidence in metadata; verify solicitation</t>
        </is>
      </c>
      <c r="AF58" s="2" t="inlineStr">
        <is>
          <t>Potentially yes — subject to historical SAM registration and representations</t>
        </is>
      </c>
      <c r="AG58" s="2" t="inlineStr">
        <is>
          <t>Probable mandatory-source conflict</t>
        </is>
      </c>
      <c r="AH58" s="2" t="inlineStr">
        <is>
          <t>Exact product/NSN review required</t>
        </is>
      </c>
      <c r="AI58" s="2" t="inlineStr">
        <is>
          <t>Restricted NSN / approved-source / defense-platform risk</t>
        </is>
      </c>
      <c r="AJ58" s="2" t="inlineStr">
        <is>
          <t>Promising metadata; archive requirements review required</t>
        </is>
      </c>
      <c r="AK58" s="2" t="inlineStr">
        <is>
          <t>Unknown — never infer from award amount</t>
        </is>
      </c>
      <c r="AL58" s="2" t="inlineStr">
        <is>
          <t>Not modeled before archive and supplier-pricing gates</t>
        </is>
      </c>
      <c r="AM58" s="2" t="inlineStr">
        <is>
          <t>Unclassified pending requirements and sourcing</t>
        </is>
      </c>
      <c r="AN58" s="2" t="inlineStr">
        <is>
          <t>Not modeled before supplier pricing</t>
        </is>
      </c>
      <c r="AO58" s="2" t="inlineStr">
        <is>
          <t>0</t>
        </is>
      </c>
      <c r="AP58" s="2" t="inlineStr">
        <is>
          <t>0</t>
        </is>
      </c>
      <c r="AQ58" s="2" t="inlineStr">
        <is>
          <t>Strikeout</t>
        </is>
      </c>
      <c r="AR58" s="2" t="inlineStr">
        <is>
          <t>Gate 5 — mandatory source</t>
        </is>
      </c>
      <c r="AS58" s="2" t="inlineStr">
        <is>
          <t>NO-BID / CONTROL</t>
        </is>
      </c>
      <c r="AT58" s="2" t="inlineStr">
        <is>
          <t>Moderate — official extract metadata; direct archive review pending</t>
        </is>
      </c>
      <c r="AU58" s="2" t="inlineStr">
        <is>
          <t>Selection role: Target-lane candidate. Solicitation family contains 2 notice version(s): 4537a5c2116c4231beecac7267421f95; 5c01af64d5ac474c95c03e3cd14383e4. Representative notice chosen by detail score, not outcome. Historical award mapping did not control selection.</t>
        </is>
      </c>
      <c r="AV58" s="2" t="inlineStr">
        <is>
          <t>64784</t>
        </is>
      </c>
    </row>
    <row r="59">
      <c r="A59" s="2" t="inlineStr">
        <is>
          <t>HOS01-058</t>
        </is>
      </c>
      <c r="B59" s="2" t="inlineStr">
        <is>
          <t>7a73d8bcbffb4f3181658975cad9e6e7</t>
        </is>
      </c>
      <c r="C59" s="2" t="inlineStr">
        <is>
          <t>47QTCB22R0007</t>
        </is>
      </c>
      <c r="D59" s="2" t="inlineStr">
        <is>
          <t>https://sam.gov/workspace/contract/opp/7a73d8bcbffb4f3181658975cad9e6e7/view</t>
        </is>
      </c>
      <c r="E59" s="2" t="inlineStr">
        <is>
          <t>Solicitation</t>
        </is>
      </c>
      <c r="F59" s="2" t="inlineStr">
        <is>
          <t>2023-05-01</t>
        </is>
      </c>
      <c r="G59" s="2" t="inlineStr">
        <is>
          <t>2022-11-18</t>
        </is>
      </c>
      <c r="H59" s="2" t="inlineStr">
        <is>
          <t>GENERAL SERVICES ADMINISTRATION</t>
        </is>
      </c>
      <c r="I59" s="2" t="inlineStr">
        <is>
          <t>FEDERAL ACQUISITION SERVICE</t>
        </is>
      </c>
      <c r="J59" s="2" t="inlineStr">
        <is>
          <t>GSA/FAS ITC OFFICE OF ACQUISITION OPERATIONS, INTERAGENCY CONTRACTS</t>
        </is>
      </c>
      <c r="K59" s="2" t="inlineStr">
        <is>
          <t>Polaris GWAC Service-Disabled Veteran-Owned Small Business Pool</t>
        </is>
      </c>
      <c r="L59" s="2" t="inlineStr">
        <is>
          <t>November 25, 2024 - Amendment 0007 of the Polaris GWAC Service-Disabled Veteran-Owned Small Business (SDVOSB) Pool has been posted in the Polaris Submission Portal (https://polaris.app.cloud.gov). This amendment is to incorporate an updated FAR provision. Offerors should login to the Polaris Submission Portal and review for necessary action. This amendment is only applicable to existing offerors with an active proposal that was submitted for the Polaris GWAC Service-Disabled Veteran-Owned Small Business (SDVOSB) Pool by November 18, 2022. ++++++++++++++++++++++++++++++++++++++++++++++++++++++++++++++++++++++++++++++++++++++++++ September 03, 2024 - GSA is completing the evaluation process and nearing announcement of awards for the Polaris GWAC SB Pool. Contract awards for the SB Pool are now planned to be announced in the first quarter of FY25 with the WOSB, HUBZone, and SDVOSB Pools to follow later in FY25. Amendment 0006 of the Polaris SDVOSB Pool has been posted in the Polaris Submission Portal (https://polaris.app.cloud.gov). This amendment is to extend the offer acceptance period for existing offerors based on this updated award timeframe. Offerors should login to the Polaris Submission Portal and review for necessary action. This action is only applicable to existing offerors that submitted a timely proposal for the Polaris GWAC SDVOSB Pool by November 18, 2022, and previously extended their offer acceptance period through November 14, 2024. ++++++++++++++++++++++++++++++++++++++++++++++++++++++++++++++++++++++++++++++++++++++++++ December 26, 2023 - GSA has issued 47QTCB22R0007 Amendment 0005 and Question &amp; Response #4 of the Polaris Service-Disabled Veteran-Owned Small Business (SDVOSB) Pool in the Polaris Submission Portal (https://polaris.app.cloud.gov). Offer</t>
        </is>
      </c>
      <c r="M59" s="2" t="inlineStr">
        <is>
          <t>541512</t>
        </is>
      </c>
      <c r="N59" s="2" t="inlineStr">
        <is>
          <t>DA01</t>
        </is>
      </c>
      <c r="O59" s="2" t="inlineStr">
        <is>
          <t>Service-Disabled Veteran-Owned Small Business Set Aside</t>
        </is>
      </c>
      <c r="P59" s="2" t="inlineStr">
        <is>
          <t>Unknown pre-award; historical award retained only as answer key when mapped</t>
        </is>
      </c>
      <c r="Q59" s="2" t="inlineStr">
        <is>
          <t>Excluded or control category</t>
        </is>
      </c>
      <c r="R59" s="2" t="inlineStr">
        <is>
          <t>Office and facility consumables</t>
        </is>
      </c>
      <c r="S59" s="2" t="inlineStr"/>
      <c r="T59" s="2" t="inlineStr">
        <is>
          <t>Archive review required</t>
        </is>
      </c>
      <c r="U59" s="2" t="inlineStr">
        <is>
          <t>Direct notice/resource lookup required</t>
        </is>
      </c>
      <c r="V59" s="2" t="inlineStr">
        <is>
          <t>Yes — 11 notice version(s)</t>
        </is>
      </c>
      <c r="W59" s="2" t="inlineStr">
        <is>
          <t>Unknown — archive retrieval required</t>
        </is>
      </c>
      <c r="X59" s="2" t="inlineStr">
        <is>
          <t>Not yet recovered</t>
        </is>
      </c>
      <c r="Y59" s="2" t="inlineStr"/>
      <c r="Z59" s="2" t="inlineStr"/>
      <c r="AA59" s="2" t="inlineStr"/>
      <c r="AB59" s="2" t="inlineStr"/>
      <c r="AC59" s="2" t="inlineStr">
        <is>
          <t>No parent vehicle indicated at solicitation intake; verify clauses</t>
        </is>
      </c>
      <c r="AD59" s="2" t="inlineStr">
        <is>
          <t>Potentially yes — direct solicitation or combined notice</t>
        </is>
      </c>
      <c r="AE59" s="2" t="inlineStr">
        <is>
          <t>No evidence in metadata; verify solicitation</t>
        </is>
      </c>
      <c r="AF59" s="2" t="inlineStr">
        <is>
          <t>No — socioeconomic set-aside not held by GGG</t>
        </is>
      </c>
      <c r="AG59" s="2" t="inlineStr">
        <is>
          <t>No conflict detected in metadata; exact product review required</t>
        </is>
      </c>
      <c r="AH59" s="2" t="inlineStr">
        <is>
          <t>Exact product/NSN review required</t>
        </is>
      </c>
      <c r="AI59" s="2" t="inlineStr">
        <is>
          <t>Rental / lease</t>
        </is>
      </c>
      <c r="AJ59" s="2" t="inlineStr">
        <is>
          <t>Promising metadata; archive requirements review required</t>
        </is>
      </c>
      <c r="AK59" s="2" t="inlineStr">
        <is>
          <t>Unknown — never infer from award amount</t>
        </is>
      </c>
      <c r="AL59" s="2" t="inlineStr">
        <is>
          <t>Not modeled before archive and supplier-pricing gates</t>
        </is>
      </c>
      <c r="AM59" s="2" t="inlineStr">
        <is>
          <t>Unclassified pending requirements and sourcing</t>
        </is>
      </c>
      <c r="AN59" s="2" t="inlineStr">
        <is>
          <t>Not modeled before supplier pricing</t>
        </is>
      </c>
      <c r="AO59" s="2" t="inlineStr">
        <is>
          <t>0</t>
        </is>
      </c>
      <c r="AP59" s="2" t="inlineStr">
        <is>
          <t>0</t>
        </is>
      </c>
      <c r="AQ59" s="2" t="inlineStr">
        <is>
          <t>Strikeout</t>
        </is>
      </c>
      <c r="AR59" s="2" t="inlineStr">
        <is>
          <t>Gate 4 — GGG eligibility</t>
        </is>
      </c>
      <c r="AS59" s="2" t="inlineStr">
        <is>
          <t>NO-BID / CONTROL</t>
        </is>
      </c>
      <c r="AT59" s="2" t="inlineStr">
        <is>
          <t>Moderate — official extract metadata; direct archive review pending</t>
        </is>
      </c>
      <c r="AU59" s="2" t="inlineStr">
        <is>
          <t>Selection role: Target-lane candidate. Solicitation family contains 11 notice version(s): 6f0946e244934e4eb1f8cc6ba63d9e34; fff389e58d37444f9e4ebc4dbf0eb7ea; ad5710214ecf49f6b76352c33ca32a5a; e4110d2cb481410ab4212ea035f4262e; dfbf2cc473144443bed25c1406b4dff6; 61bb37a88d254886883a49074dbd71aa; c561f7bb2bf44631a4edb867cd855a8d; 6402d41272aa48999632ace3cd1321f7; 1d848d8314f549da9b631a709a63168d; 1e749a6d398941f8b5d2a554d09702f1; 7a73d8bcbffb4f3181658975cad9e6e7. Representative notice chosen by detail score, not outcome. Historical award mapping did not control selection.</t>
        </is>
      </c>
      <c r="AV59" s="2" t="inlineStr">
        <is>
          <t>64742</t>
        </is>
      </c>
    </row>
    <row r="60">
      <c r="A60" s="2" t="inlineStr">
        <is>
          <t>HOS01-059</t>
        </is>
      </c>
      <c r="B60" s="2" t="inlineStr">
        <is>
          <t>6be47146b6384f5ea2ece9ee26636395</t>
        </is>
      </c>
      <c r="C60" s="2" t="inlineStr">
        <is>
          <t>12363N23Q4035</t>
        </is>
      </c>
      <c r="D60" s="2" t="inlineStr">
        <is>
          <t>https://sam.gov/workspace/contract/opp/6be47146b6384f5ea2ece9ee26636395/view</t>
        </is>
      </c>
      <c r="E60" s="2" t="inlineStr">
        <is>
          <t>Combined Synopsis/Solicitation</t>
        </is>
      </c>
      <c r="F60" s="2" t="inlineStr">
        <is>
          <t>2023-02-14</t>
        </is>
      </c>
      <c r="G60" s="2" t="inlineStr">
        <is>
          <t>2023-03-15</t>
        </is>
      </c>
      <c r="H60" s="2" t="inlineStr">
        <is>
          <t>AGRICULTURE, DEPARTMENT OF</t>
        </is>
      </c>
      <c r="I60" s="2" t="inlineStr">
        <is>
          <t>FOREST SERVICE</t>
        </is>
      </c>
      <c r="J60" s="2" t="inlineStr">
        <is>
          <t>USDA-FS, STEWARDSHIP CONTRACTING BRANCH</t>
        </is>
      </c>
      <c r="K60" s="2" t="inlineStr">
        <is>
          <t>California Forest Engineering and Road Maintenance (FERM) Blanket Purchase Agreement</t>
        </is>
      </c>
      <c r="L60" s="2" t="inlineStr">
        <is>
          <t>12363N23Q4035 This is a combined synopsis/solicitation for commercial products or commercial services prepared in accordance with the format in subpart 12.6, as supplemented with additional information included in this notice. This announcement constitutes the only solicitation and proposals are being requested. PROJECT DESCRIPTION: California Forest Engineering and Road Maintenance (FERM) Blanket Purchase Agreement The California Forest Engineering and Road Maintenance (FERM) Blanket Purchase Agreement is a National BPA that will consist of a variety of work including both Road Maintenance service types of work and Road Construction types of work. The BPA will have a period of performance from early spring 2023 through March 2033 and can be utilized on all California Federal Forests and Grasslands and is available for all federal agencies to utilize. This solicitation is issued as a request for quotation (RFQ). This solicitation will remain Open and Continuous to add vendors when determined necessary for the 10-year period it is active. Make sure your firm is updated and registered in the System for Award Management system (SAM) and current to conduct government business. Due to recent storm damage, emergency repairs are necessary to repair road infrastructure and we expect to issue calls before the closing date. As vendors are being evaluated for zones, we may issue call orders to early offerors before the due date. Please read the entire solicitation thoroughly to ensure all requirements in your response are included. PROJECT LOCATION: Projects shall covers the state of California including the following forests; Angeles, Cleveland, Eldorado, Humboldt-Toiyabe, Inyo, Klamath, Lake Tahoe Basin Management Unit, Lassen, Los Padres, Mendocino, Modoc, Plumas, San Bernardin</t>
        </is>
      </c>
      <c r="M60" s="2" t="inlineStr">
        <is>
          <t>237310</t>
        </is>
      </c>
      <c r="N60" s="2" t="inlineStr">
        <is>
          <t>Y1LB</t>
        </is>
      </c>
      <c r="O60" s="2" t="inlineStr">
        <is>
          <t>Total Small Business Set-Aside (FAR 19.5)</t>
        </is>
      </c>
      <c r="P60" s="2" t="inlineStr">
        <is>
          <t>Unknown pre-award; historical award retained only as answer key when mapped</t>
        </is>
      </c>
      <c r="Q60" s="2" t="inlineStr">
        <is>
          <t>Excluded or control category</t>
        </is>
      </c>
      <c r="R60" s="2" t="inlineStr">
        <is>
          <t>Office and facility consumables</t>
        </is>
      </c>
      <c r="S60" s="2" t="inlineStr">
        <is>
          <t>Vallejo, CA, 94592, USA</t>
        </is>
      </c>
      <c r="T60" s="2" t="inlineStr">
        <is>
          <t>Vallejo, CA, 94592, USA</t>
        </is>
      </c>
      <c r="U60" s="2" t="inlineStr">
        <is>
          <t>Direct notice/resource lookup required</t>
        </is>
      </c>
      <c r="V60" s="2" t="inlineStr">
        <is>
          <t>Yes — 2 notice version(s)</t>
        </is>
      </c>
      <c r="W60" s="2" t="inlineStr">
        <is>
          <t>Unknown — archive retrieval required</t>
        </is>
      </c>
      <c r="X60" s="2" t="inlineStr">
        <is>
          <t>Not yet recovered</t>
        </is>
      </c>
      <c r="Y60" s="2" t="inlineStr"/>
      <c r="Z60" s="2" t="inlineStr"/>
      <c r="AA60" s="2" t="inlineStr"/>
      <c r="AB60" s="2" t="inlineStr"/>
      <c r="AC60" s="2" t="inlineStr">
        <is>
          <t>No parent vehicle indicated at solicitation intake; verify clauses</t>
        </is>
      </c>
      <c r="AD60" s="2" t="inlineStr">
        <is>
          <t>Potentially yes — direct solicitation or combined notice</t>
        </is>
      </c>
      <c r="AE60" s="2" t="inlineStr">
        <is>
          <t>No evidence in metadata; verify solicitation</t>
        </is>
      </c>
      <c r="AF60" s="2" t="inlineStr">
        <is>
          <t>Potentially yes — subject to historical SAM registration and representations</t>
        </is>
      </c>
      <c r="AG60" s="2" t="inlineStr">
        <is>
          <t>No conflict detected in metadata; exact product review required</t>
        </is>
      </c>
      <c r="AH60" s="2" t="inlineStr">
        <is>
          <t>Exact product/NSN review required</t>
        </is>
      </c>
      <c r="AI60" s="2" t="inlineStr">
        <is>
          <t>Construction / installation / repair / field service</t>
        </is>
      </c>
      <c r="AJ60" s="2" t="inlineStr">
        <is>
          <t>Promising metadata; archive requirements review required</t>
        </is>
      </c>
      <c r="AK60" s="2" t="inlineStr">
        <is>
          <t>Unknown — never infer from award amount</t>
        </is>
      </c>
      <c r="AL60" s="2" t="inlineStr">
        <is>
          <t>Not modeled before archive and supplier-pricing gates</t>
        </is>
      </c>
      <c r="AM60" s="2" t="inlineStr">
        <is>
          <t>Unclassified pending requirements and sourcing</t>
        </is>
      </c>
      <c r="AN60" s="2" t="inlineStr">
        <is>
          <t>Not modeled before supplier pricing</t>
        </is>
      </c>
      <c r="AO60" s="2" t="inlineStr">
        <is>
          <t>90</t>
        </is>
      </c>
      <c r="AP60" s="2" t="inlineStr">
        <is>
          <t>0</t>
        </is>
      </c>
      <c r="AQ60" s="2" t="inlineStr">
        <is>
          <t>Strikeout</t>
        </is>
      </c>
      <c r="AR60" s="2" t="inlineStr">
        <is>
          <t>Gate 6 — product/service exclusion</t>
        </is>
      </c>
      <c r="AS60" s="2" t="inlineStr">
        <is>
          <t>NO-BID / CONTROL</t>
        </is>
      </c>
      <c r="AT60" s="2" t="inlineStr">
        <is>
          <t>Moderate — official extract metadata; direct archive review pending</t>
        </is>
      </c>
      <c r="AU60" s="2" t="inlineStr">
        <is>
          <t>Selection role: Target-lane candidate. Solicitation family contains 2 notice version(s): 779b377795704eefacca47a1b604d20e; 6be47146b6384f5ea2ece9ee26636395. Representative notice chosen by detail score, not outcome. Historical award mapping did not control selection.</t>
        </is>
      </c>
      <c r="AV60" s="2" t="inlineStr">
        <is>
          <t>68071</t>
        </is>
      </c>
    </row>
    <row r="61">
      <c r="A61" s="2" t="inlineStr">
        <is>
          <t>HOS01-060</t>
        </is>
      </c>
      <c r="B61" s="2" t="inlineStr">
        <is>
          <t>7f8cc487fcbc40f3847a34bab679343e</t>
        </is>
      </c>
      <c r="C61" s="2" t="inlineStr">
        <is>
          <t>19AQMDOSCrystalGlassware</t>
        </is>
      </c>
      <c r="D61" s="2" t="inlineStr">
        <is>
          <t>https://sam.gov/workspace/contract/opp/7f8cc487fcbc40f3847a34bab679343e/view</t>
        </is>
      </c>
      <c r="E61" s="2" t="inlineStr">
        <is>
          <t>Solicitation</t>
        </is>
      </c>
      <c r="F61" s="2" t="inlineStr">
        <is>
          <t>2024-02-05</t>
        </is>
      </c>
      <c r="G61" s="2" t="inlineStr">
        <is>
          <t>2024-02-16</t>
        </is>
      </c>
      <c r="H61" s="2" t="inlineStr">
        <is>
          <t>STATE, DEPARTMENT OF</t>
        </is>
      </c>
      <c r="I61" s="2" t="inlineStr">
        <is>
          <t>STATE, DEPARTMENT OF</t>
        </is>
      </c>
      <c r="J61" s="2" t="inlineStr">
        <is>
          <t>ACQUISITIONS - AQM MOMENTUM</t>
        </is>
      </c>
      <c r="K61" s="2" t="inlineStr">
        <is>
          <t>DOS Crystal Glassware-SMALL BUSINESS ONLY</t>
        </is>
      </c>
      <c r="L61" s="2" t="inlineStr">
        <is>
          <t>U.S. Department of State February 2, 2024 Department of State 2024 Production &amp; Supply Contract For Lead-Free Crystal Glassware Notice of Solicitation of Submissions for Contractor Pre-Qualification The U.S. Department of State (DOS), Bureau of Overseas Buildings operations (OBO) is seeking to prequalify U.S. Small Businesses for an Indefinite Delivery Indefinite Quantity (IDIQ) contract(s) to produce and supply high quality lead-free crystal glassware�s. The Department of State anticipates awarding approximately (1) IDIQ contract. This requirement is a Small Business Set-Aside under the North American Industry Classification System (NAICS) code 327212 (Other Pressed and Blown Glass and Glassware Manufacturing). Do not respond to this announcement if your firm is not considered a small business by SBA standards under NAICS code 327212. Current size standard is 1,250 employees or less, refer to http://www.sba.gov/sites/default/files/files/Size_Standards_Table.pdf. The Department of State Overseas Buildings Operations' Operations/Area Management/Program Management Division provides representational glass and crystal glassware�s to United States Embassies and diplomatic posts worldwide. In doing so, the Department of State furthers U.S. Diplomatic interests. The purpose of this requirement is to implement a "best in practice" support infrastructure that have processes, technology, and resources to provide high-end retail quality glass and crystal glassware that is cost effective to the Government. The United States international relations, national interest and success are, in part, built upon the ability of our Ambassadors to entertain host country nationals in our embassies and residences abroad. In this regard, furniture, art and tableware that are provided by the Depar</t>
        </is>
      </c>
      <c r="M61" s="2" t="inlineStr">
        <is>
          <t>327212</t>
        </is>
      </c>
      <c r="N61" s="2" t="inlineStr">
        <is>
          <t>9340</t>
        </is>
      </c>
      <c r="O61" s="2" t="inlineStr">
        <is>
          <t>Total Small Business Set-Aside (FAR 19.5)</t>
        </is>
      </c>
      <c r="P61" s="2" t="inlineStr">
        <is>
          <t>Unknown pre-award; historical award retained only as answer key when mapped</t>
        </is>
      </c>
      <c r="Q61" s="2" t="inlineStr">
        <is>
          <t>Excluded or control category</t>
        </is>
      </c>
      <c r="R61" s="2" t="inlineStr">
        <is>
          <t>Office and facility consumables</t>
        </is>
      </c>
      <c r="S61" s="2" t="inlineStr">
        <is>
          <t>Rosslyn, VA, USA</t>
        </is>
      </c>
      <c r="T61" s="2" t="inlineStr">
        <is>
          <t>Rosslyn, VA, USA</t>
        </is>
      </c>
      <c r="U61" s="2" t="inlineStr">
        <is>
          <t>Direct notice/resource lookup required</t>
        </is>
      </c>
      <c r="V61" s="2" t="inlineStr">
        <is>
          <t>Yes — 2 notice version(s)</t>
        </is>
      </c>
      <c r="W61" s="2" t="inlineStr">
        <is>
          <t>Unknown — archive retrieval required</t>
        </is>
      </c>
      <c r="X61" s="2" t="inlineStr">
        <is>
          <t>Not yet recovered</t>
        </is>
      </c>
      <c r="Y61" s="2" t="inlineStr"/>
      <c r="Z61" s="2" t="inlineStr"/>
      <c r="AA61" s="2" t="inlineStr"/>
      <c r="AB61" s="2" t="inlineStr"/>
      <c r="AC61" s="2" t="inlineStr">
        <is>
          <t>No parent vehicle indicated at solicitation intake; verify clauses</t>
        </is>
      </c>
      <c r="AD61" s="2" t="inlineStr">
        <is>
          <t>Potentially yes — direct solicitation or combined notice</t>
        </is>
      </c>
      <c r="AE61" s="2" t="inlineStr">
        <is>
          <t>No evidence in metadata; verify solicitation</t>
        </is>
      </c>
      <c r="AF61" s="2" t="inlineStr">
        <is>
          <t>Potentially yes — subject to historical SAM registration and representations</t>
        </is>
      </c>
      <c r="AG61" s="2" t="inlineStr">
        <is>
          <t>No conflict detected in metadata; exact product review required</t>
        </is>
      </c>
      <c r="AH61" s="2" t="inlineStr">
        <is>
          <t>Exact product/NSN review required</t>
        </is>
      </c>
      <c r="AI61" s="2" t="inlineStr">
        <is>
          <t>Food / perishables</t>
        </is>
      </c>
      <c r="AJ61" s="2" t="inlineStr">
        <is>
          <t>Promising metadata; archive requirements review required</t>
        </is>
      </c>
      <c r="AK61" s="2" t="inlineStr">
        <is>
          <t>Unknown — never infer from award amount</t>
        </is>
      </c>
      <c r="AL61" s="2" t="inlineStr">
        <is>
          <t>Not modeled before archive and supplier-pricing gates</t>
        </is>
      </c>
      <c r="AM61" s="2" t="inlineStr">
        <is>
          <t>Unclassified pending requirements and sourcing</t>
        </is>
      </c>
      <c r="AN61" s="2" t="inlineStr">
        <is>
          <t>Not modeled before supplier pricing</t>
        </is>
      </c>
      <c r="AO61" s="2" t="inlineStr">
        <is>
          <t>90</t>
        </is>
      </c>
      <c r="AP61" s="2" t="inlineStr">
        <is>
          <t>0</t>
        </is>
      </c>
      <c r="AQ61" s="2" t="inlineStr">
        <is>
          <t>Strikeout</t>
        </is>
      </c>
      <c r="AR61" s="2" t="inlineStr">
        <is>
          <t>Gate 6 — product/service exclusion</t>
        </is>
      </c>
      <c r="AS61" s="2" t="inlineStr">
        <is>
          <t>NO-BID / CONTROL</t>
        </is>
      </c>
      <c r="AT61" s="2" t="inlineStr">
        <is>
          <t>Moderate — official extract metadata; direct archive review pending</t>
        </is>
      </c>
      <c r="AU61" s="2" t="inlineStr">
        <is>
          <t>Selection role: Target-lane candidate. Solicitation family contains 2 notice version(s): c7386d28fc8740148e8ebee8b4b6558a; 7f8cc487fcbc40f3847a34bab679343e. Representative notice chosen by detail score, not outcome. Historical award mapping did not control selection.</t>
        </is>
      </c>
      <c r="AV61" s="2" t="inlineStr">
        <is>
          <t>67281</t>
        </is>
      </c>
    </row>
    <row r="62">
      <c r="A62" s="2" t="inlineStr">
        <is>
          <t>HOS01-061</t>
        </is>
      </c>
      <c r="B62" s="2" t="inlineStr">
        <is>
          <t>c335dcd0fe074be9a9aa4a2e22ddf7c1</t>
        </is>
      </c>
      <c r="C62" s="2" t="inlineStr">
        <is>
          <t>80AFRC23R0001</t>
        </is>
      </c>
      <c r="D62" s="2" t="inlineStr">
        <is>
          <t>https://sam.gov/workspace/contract/opp/c335dcd0fe074be9a9aa4a2e22ddf7c1/view</t>
        </is>
      </c>
      <c r="E62" s="2" t="inlineStr">
        <is>
          <t>Solicitation</t>
        </is>
      </c>
      <c r="F62" s="2" t="inlineStr">
        <is>
          <t>2023-07-19</t>
        </is>
      </c>
      <c r="G62" s="2" t="inlineStr">
        <is>
          <t>2023-11-01</t>
        </is>
      </c>
      <c r="H62" s="2" t="inlineStr">
        <is>
          <t>NATIONAL AERONAUTICS AND SPACE ADMINISTRATION</t>
        </is>
      </c>
      <c r="I62" s="2" t="inlineStr">
        <is>
          <t>NATIONAL AERONAUTICS AND SPACE ADMINISTRATION</t>
        </is>
      </c>
      <c r="J62" s="2" t="inlineStr">
        <is>
          <t>NASA ARMSTRONG FLIGHT RESEARCH CNTR</t>
        </is>
      </c>
      <c r="K62" s="2" t="inlineStr">
        <is>
          <t>Final Request for Proposal for NASA Suborbital/Hosted Orbital Flight and Payload Integration Services 4 (FO IDIQ 4)</t>
        </is>
      </c>
      <c r="L62" s="2" t="inlineStr">
        <is>
          <t>This solicitation, as revised, shall remain open during the life of the awarded contracts. At any time, the Government may award additional contracts under this solicitation. Each anniversary date during the life of this contract or at any other time established via synopsis, the Government may issue a request for and accept proposals from new flight service providers. -------------------------------------------------------------------------------------------------------- Solicitation is amended to post additional Questions and Answers as attachment QuestionsFromIndustry_24Oct2023.pdf and replace the PWS with Attachment 1_PWS_19Oct2023.pdf. Solicitation is amended to provide the presentation slides (IDIQ4 Briefing_12Oct2023.pdf) and attendees list (Industry Day Attendees list_12Oct2023.pdf) from the Industry Day event on 12 October 2023. The Government intends to hold a virtual Industry Day, scheduled for October 12, 2023. To be added to the list of attendees, email Contract Specialists Renz Urlanda (renzmarion.v.urlanda@nasa.gov) and Melissa Newell (melissa.newell@nasa.gov). Final questions shall be submitted by October 16, 2023 at 12:00 PT. The Government will provide answers to the submitted questions by October 25, 2023. The revised proposal due date is November 1, 2023 at 12:00 PT. In the event of a Government shutdown continuing beyond October 9, 2023, dates listed above may be impacted or suspended. Please continue to monitor SAM.gov for any further updates to this solicitation. The Government appreciates industry�s feedback on the solicitation process. The RFP due date will be extended while we work to provide additional details on the industry questions received. Resubmission of proposals will be accepted at any time prior to the new RFP due date. The revised p</t>
        </is>
      </c>
      <c r="M62" s="2" t="inlineStr">
        <is>
          <t>481212</t>
        </is>
      </c>
      <c r="N62" s="2" t="inlineStr">
        <is>
          <t>V126</t>
        </is>
      </c>
      <c r="O62" s="2" t="inlineStr"/>
      <c r="P62" s="2" t="inlineStr">
        <is>
          <t>Unknown pre-award; historical award retained only as answer key when mapped</t>
        </is>
      </c>
      <c r="Q62" s="2" t="inlineStr">
        <is>
          <t>Excluded or control category</t>
        </is>
      </c>
      <c r="R62" s="2" t="inlineStr">
        <is>
          <t>Office and facility consumables</t>
        </is>
      </c>
      <c r="S62" s="2" t="inlineStr">
        <is>
          <t>USA</t>
        </is>
      </c>
      <c r="T62" s="2" t="inlineStr">
        <is>
          <t>USA</t>
        </is>
      </c>
      <c r="U62" s="2" t="inlineStr">
        <is>
          <t>Direct notice/resource lookup required</t>
        </is>
      </c>
      <c r="V62" s="2" t="inlineStr">
        <is>
          <t>Yes — 12 notice version(s)</t>
        </is>
      </c>
      <c r="W62" s="2" t="inlineStr">
        <is>
          <t>Unknown — archive retrieval required</t>
        </is>
      </c>
      <c r="X62" s="2" t="inlineStr">
        <is>
          <t>Not yet recovered</t>
        </is>
      </c>
      <c r="Y62" s="2" t="inlineStr"/>
      <c r="Z62" s="2" t="inlineStr"/>
      <c r="AA62" s="2" t="inlineStr"/>
      <c r="AB62" s="2" t="inlineStr"/>
      <c r="AC62" s="2" t="inlineStr">
        <is>
          <t>No parent vehicle indicated at solicitation intake; verify clauses</t>
        </is>
      </c>
      <c r="AD62" s="2" t="inlineStr">
        <is>
          <t>Potentially yes — direct solicitation or combined notice</t>
        </is>
      </c>
      <c r="AE62" s="2" t="inlineStr">
        <is>
          <t>No evidence in metadata; verify solicitation</t>
        </is>
      </c>
      <c r="AF62" s="2" t="inlineStr">
        <is>
          <t>Potentially yes — subject to historical SAM registration and representations</t>
        </is>
      </c>
      <c r="AG62" s="2" t="inlineStr">
        <is>
          <t>No conflict detected in metadata; exact product review required</t>
        </is>
      </c>
      <c r="AH62" s="2" t="inlineStr">
        <is>
          <t>Exact product/NSN review required</t>
        </is>
      </c>
      <c r="AI62" s="2" t="inlineStr">
        <is>
          <t>Rental / lease</t>
        </is>
      </c>
      <c r="AJ62" s="2" t="inlineStr">
        <is>
          <t>Promising metadata; archive requirements review required</t>
        </is>
      </c>
      <c r="AK62" s="2" t="inlineStr">
        <is>
          <t>Unknown — never infer from award amount</t>
        </is>
      </c>
      <c r="AL62" s="2" t="inlineStr">
        <is>
          <t>Not modeled before archive and supplier-pricing gates</t>
        </is>
      </c>
      <c r="AM62" s="2" t="inlineStr">
        <is>
          <t>Unclassified pending requirements and sourcing</t>
        </is>
      </c>
      <c r="AN62" s="2" t="inlineStr">
        <is>
          <t>Not modeled before supplier pricing</t>
        </is>
      </c>
      <c r="AO62" s="2" t="inlineStr">
        <is>
          <t>90</t>
        </is>
      </c>
      <c r="AP62" s="2" t="inlineStr">
        <is>
          <t>0</t>
        </is>
      </c>
      <c r="AQ62" s="2" t="inlineStr">
        <is>
          <t>Strikeout</t>
        </is>
      </c>
      <c r="AR62" s="2" t="inlineStr">
        <is>
          <t>Gate 6 — product/service exclusion</t>
        </is>
      </c>
      <c r="AS62" s="2" t="inlineStr">
        <is>
          <t>NO-BID / CONTROL</t>
        </is>
      </c>
      <c r="AT62" s="2" t="inlineStr">
        <is>
          <t>Moderate — official extract metadata; direct archive review pending</t>
        </is>
      </c>
      <c r="AU62" s="2" t="inlineStr">
        <is>
          <t>Selection role: Target-lane candidate. Solicitation family contains 12 notice version(s): e1372cc0103f421cbf69a59b538b4d81; a665d191eef14ab7966484b9d59584d6; 31b2084f0dc1410e862186dc6572fd3a; f7e713ee1d5e407cb8fe3094e2be7160; a9dda877c76c49d08dc88bb3d33ae16b; e2fe43b6d1034a7f9813ad99794522b9; e7beeb1fd3764d3f826276b58d36dbcb; 4e3526bdc4d641848c4881ad66877fe4; 962a0ded234f4bc5b85cf5b7822d1741; ca3bd9f0c17b4b6dbfbd5f03b699ab4a; 4fd7b902188447cba5c8bd59e9214eb2; c335dcd0fe074be9a9aa4a2e22ddf7c1. Representative notice chosen by detail score, not outcome. Historical award mapping did not control selection.</t>
        </is>
      </c>
      <c r="AV62" s="2" t="inlineStr">
        <is>
          <t>65693</t>
        </is>
      </c>
    </row>
    <row r="63">
      <c r="A63" s="2" t="inlineStr">
        <is>
          <t>HOS01-062</t>
        </is>
      </c>
      <c r="B63" s="2" t="inlineStr">
        <is>
          <t>be31a30866a54287a6966e6e8028ef53</t>
        </is>
      </c>
      <c r="C63" s="2" t="inlineStr">
        <is>
          <t>47QMCA23R0011</t>
        </is>
      </c>
      <c r="D63" s="2" t="inlineStr">
        <is>
          <t>https://sam.gov/workspace/contract/opp/be31a30866a54287a6966e6e8028ef53/view</t>
        </is>
      </c>
      <c r="E63" s="2" t="inlineStr">
        <is>
          <t>Solicitation</t>
        </is>
      </c>
      <c r="F63" s="2" t="inlineStr">
        <is>
          <t>2023-01-06</t>
        </is>
      </c>
      <c r="G63" s="2" t="inlineStr">
        <is>
          <t>2024-09-30</t>
        </is>
      </c>
      <c r="H63" s="2" t="inlineStr">
        <is>
          <t>GENERAL SERVICES ADMINISTRATION</t>
        </is>
      </c>
      <c r="I63" s="2" t="inlineStr">
        <is>
          <t>FEDERAL ACQUISITION SERVICE</t>
        </is>
      </c>
      <c r="J63" s="2" t="inlineStr">
        <is>
          <t>GSA/FAS AUTOMOTIVE CENTER</t>
        </is>
      </c>
      <c r="K63" s="2" t="inlineStr">
        <is>
          <t>2024 Outside the Continental United States (OCONUS) Vehicle Program</t>
        </is>
      </c>
      <c r="L63" s="2" t="inlineStr">
        <is>
          <t>SPECIAL NOTICE ON STATUS OF SOLICITATION (October 29, 2024): This solicitation remains open beyond the initial deadline for Standard Item 888E ONLY. Item 888E is an open line item that allows an offeror to propose any commercially-made motor vehicle incorporating emerging technology, for which there is an existing Federal Standard vehicle category and which conforms to all GSA standards and regulations that pertain to the Government�s motor vehicle requirements. Please see attached Special Notice for more information. The General Services Administration's (GSA) Automotive Acquisition Support Center invites firms interested in submitting offers under the Government's solicitation for the 2024 Outside the Continental United States (OCONUS) Vehicle Program. Vehicle types being sought by the Government for this program include, but are not limited to: - Sedans and Passenger Station Wagons - Passenger Vans - Sport Utility Vehicles (crossovers and full-size) - Pickup trucks - Vocational Body Trucks - Wheelchair &amp; Ambulance Vehicles - Medium &amp; Heavy Trucks include: dump, stake, cargo vans, refrigerated vans, and tractors - Passenger Shuttle Buses (16-60) --- OPEN SEASON FALL 2024 Update September 24, 2024: GSA has made revisions to the due dates and times for the OCONUS Fall 2024 Open Season. The close date for AutoBid Round 2.0 is hereby extended as follows: Revised Dates: Open Season Industry Day w/ Vendors: June 27, 2024 AutoBid Requests for Accounts and Models Lists due: July 2, 2024 AutoBid opened: July 22, 2024 AutoBid closed: August 2, 2024 AutoStandards opens: August 2, 2024 AutoStandards closes: August 9, 2024 4:00pm Eastern Daylight Time AutoBid 1.0 opens: August 9, 2024 4:00pm Eastern Daylight Time AutoBid 1.0 closes: August 23, 2024 4:00pm Eastern Daylight Time Dea</t>
        </is>
      </c>
      <c r="M63" s="2" t="inlineStr">
        <is>
          <t>336110</t>
        </is>
      </c>
      <c r="N63" s="2" t="inlineStr">
        <is>
          <t>2310</t>
        </is>
      </c>
      <c r="O63" s="2" t="inlineStr"/>
      <c r="P63" s="2" t="inlineStr">
        <is>
          <t>Unknown pre-award; historical award retained only as answer key when mapped</t>
        </is>
      </c>
      <c r="Q63" s="2" t="inlineStr">
        <is>
          <t>Excluded or control category</t>
        </is>
      </c>
      <c r="R63" s="2" t="inlineStr">
        <is>
          <t>Office and facility consumables</t>
        </is>
      </c>
      <c r="S63" s="2" t="inlineStr">
        <is>
          <t>Washington, DC, 20405, USA</t>
        </is>
      </c>
      <c r="T63" s="2" t="inlineStr">
        <is>
          <t>Washington, DC, 20405, USA</t>
        </is>
      </c>
      <c r="U63" s="2" t="inlineStr">
        <is>
          <t>Direct notice/resource lookup required</t>
        </is>
      </c>
      <c r="V63" s="2" t="inlineStr">
        <is>
          <t>Yes — 33 notice version(s)</t>
        </is>
      </c>
      <c r="W63" s="2" t="inlineStr">
        <is>
          <t>Unknown — archive retrieval required</t>
        </is>
      </c>
      <c r="X63" s="2" t="inlineStr">
        <is>
          <t>Not yet recovered</t>
        </is>
      </c>
      <c r="Y63" s="2" t="inlineStr"/>
      <c r="Z63" s="2" t="inlineStr"/>
      <c r="AA63" s="2" t="inlineStr"/>
      <c r="AB63" s="2" t="inlineStr"/>
      <c r="AC63" s="2" t="inlineStr">
        <is>
          <t>No parent vehicle indicated at solicitation intake; verify clauses</t>
        </is>
      </c>
      <c r="AD63" s="2" t="inlineStr">
        <is>
          <t>Potentially yes — direct solicitation or combined notice</t>
        </is>
      </c>
      <c r="AE63" s="2" t="inlineStr">
        <is>
          <t>No evidence in metadata; verify solicitation</t>
        </is>
      </c>
      <c r="AF63" s="2" t="inlineStr">
        <is>
          <t>Potentially yes — subject to historical SAM registration and representations</t>
        </is>
      </c>
      <c r="AG63" s="2" t="inlineStr">
        <is>
          <t>Probable mandatory-source conflict</t>
        </is>
      </c>
      <c r="AH63" s="2" t="inlineStr">
        <is>
          <t>Exact product/NSN review required</t>
        </is>
      </c>
      <c r="AI63" s="2" t="inlineStr">
        <is>
          <t>Rental / lease</t>
        </is>
      </c>
      <c r="AJ63" s="2" t="inlineStr">
        <is>
          <t>Promising metadata; archive requirements review required</t>
        </is>
      </c>
      <c r="AK63" s="2" t="inlineStr">
        <is>
          <t>Unknown — never infer from award amount</t>
        </is>
      </c>
      <c r="AL63" s="2" t="inlineStr">
        <is>
          <t>Not modeled before archive and supplier-pricing gates</t>
        </is>
      </c>
      <c r="AM63" s="2" t="inlineStr">
        <is>
          <t>Unclassified pending requirements and sourcing</t>
        </is>
      </c>
      <c r="AN63" s="2" t="inlineStr">
        <is>
          <t>Not modeled before supplier pricing</t>
        </is>
      </c>
      <c r="AO63" s="2" t="inlineStr">
        <is>
          <t>0</t>
        </is>
      </c>
      <c r="AP63" s="2" t="inlineStr">
        <is>
          <t>0</t>
        </is>
      </c>
      <c r="AQ63" s="2" t="inlineStr">
        <is>
          <t>Strikeout</t>
        </is>
      </c>
      <c r="AR63" s="2" t="inlineStr">
        <is>
          <t>Gate 5 — mandatory source</t>
        </is>
      </c>
      <c r="AS63" s="2" t="inlineStr">
        <is>
          <t>NO-BID / CONTROL</t>
        </is>
      </c>
      <c r="AT63" s="2" t="inlineStr">
        <is>
          <t>Moderate — official extract metadata; direct archive review pending</t>
        </is>
      </c>
      <c r="AU63" s="2" t="inlineStr">
        <is>
          <t>Selection role: Target-lane candidate. Solicitation family contains 33 notice version(s): e24f3520ea1544e8a7bc4720a4bb87b8; 0cb1a1c3307e462e9329322011c8b4ac; 73895aa6632c4064b8f08825a64209b0; 9cb94560376e4ceda28aa518395cf2f7; 3a59d7c65ede4f94b530232df9c08f13; 963c01fd0d26474fb44a3a49d225754c; 55356cbe8db64086ab81f8e1bd502e51; 58ebfdc2df804c49b5230945047e0f83; 1d9a0ba239024c778c2ccd34703f1a1b; 3ce8e0192b9d42bc853d133b9867f463; 85eefde4230c4d9ca755dbbc83e97d21; 3f0099e885c143b7bf2d1e49b014d812; f47904fdc5654395896301a70760504f; 83f6d6504c0741e4bfe85aa0e87ba3b3; 174ff246f0bb4d2d88b0314ce462e264; bccacaa4f0334de4bc026e7f4e6ad62a; 19b9955eec2e46538d7cd53bdc9304c9; d36785b3d0cf46daad06ac2d034a057c; 94ed4f693b14455e93415b605491e9ae; 94a16916247d4d28bca6eee0aff2dd92; 5721e6fb458542a8aa2b06850bad552b; 3a7c521d45a94683b125815166a8c375; 011c9c34fe0449fd8cdb1639bb33ff65; 7c8c422d60bf465aa372f8c21e006ce3; a5a2bb1d69454fb6ac5c51b6dd200a8f; 0e5db29ecf5944a6a3342c0f5c877719; 0461846283bf478c80fe2c5e0b592df2; 6f852989f06a4a34a293f9f7dea1262b; b3c5ae239d2145bdbf6d6dbbff498ad8; 120eea808ff249bebb9d11add2d41b9f; e6806044f547452b80c548b5043d83c9; 6c39322005814eb283d689df72b896d6; be31a30866a54287a6966e6e8028ef53. Representative notice chosen by detail score, not outcome. Historical award mapping did not control selection.</t>
        </is>
      </c>
      <c r="AV63" s="2" t="inlineStr">
        <is>
          <t>64965</t>
        </is>
      </c>
    </row>
    <row r="64">
      <c r="A64" s="2" t="inlineStr">
        <is>
          <t>HOS01-063</t>
        </is>
      </c>
      <c r="B64" s="2" t="inlineStr">
        <is>
          <t>b1b65ba2dd57436bb0f3fd865be959e3</t>
        </is>
      </c>
      <c r="C64" s="2" t="inlineStr">
        <is>
          <t>12569R23Q7000</t>
        </is>
      </c>
      <c r="D64" s="2" t="inlineStr">
        <is>
          <t>https://sam.gov/workspace/contract/opp/b1b65ba2dd57436bb0f3fd865be959e3/view</t>
        </is>
      </c>
      <c r="E64" s="2" t="inlineStr">
        <is>
          <t>Solicitation</t>
        </is>
      </c>
      <c r="F64" s="2" t="inlineStr">
        <is>
          <t>2023-03-01</t>
        </is>
      </c>
      <c r="G64" s="2" t="inlineStr">
        <is>
          <t>2024-02-29</t>
        </is>
      </c>
      <c r="H64" s="2" t="inlineStr">
        <is>
          <t>AGRICULTURE, DEPARTMENT OF</t>
        </is>
      </c>
      <c r="I64" s="2" t="inlineStr">
        <is>
          <t>FOREST SERVICE</t>
        </is>
      </c>
      <c r="J64" s="2" t="inlineStr">
        <is>
          <t>USDA-FS PPS INCIDENT PROCUREMENT</t>
        </is>
      </c>
      <c r="K64" s="2" t="inlineStr">
        <is>
          <t>VIPR I-BPA for Heavy Equipment for West Zone Regions 5 and 6</t>
        </is>
      </c>
      <c r="L64" s="2" t="inlineStr">
        <is>
          <t>Re-open Solicitation. Vendor responses to the solicitation are due 02/29/2024 16:00 PST. Please access the 'Open Solicitations' tab in the VIPR Vendor application (https://apps.fs.usda.gov/vipr/vendor/) to start your response. The Department of Agriculture (USDA), US Forest Service (USFS), ESB West Zone (Regions 5, and 6) requirement for Heavy Equipment for use during Local, Regional, and nationwide fire suppression and all-hazard incidents was originally solicited under solicitation number 12569R23Q7000.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as</t>
        </is>
      </c>
      <c r="M64" s="2" t="inlineStr">
        <is>
          <t>115310</t>
        </is>
      </c>
      <c r="N64" s="2" t="inlineStr">
        <is>
          <t>F003</t>
        </is>
      </c>
      <c r="O64" s="2" t="inlineStr">
        <is>
          <t>Total Small Business Set-Aside (FAR 19.5)</t>
        </is>
      </c>
      <c r="P64" s="2" t="inlineStr">
        <is>
          <t>Unknown pre-award; historical award retained only as answer key when mapped</t>
        </is>
      </c>
      <c r="Q64" s="2" t="inlineStr">
        <is>
          <t>Excluded or control category</t>
        </is>
      </c>
      <c r="R64" s="2" t="inlineStr">
        <is>
          <t>Office and facility consumables</t>
        </is>
      </c>
      <c r="S64" s="2" t="inlineStr"/>
      <c r="T64" s="2" t="inlineStr">
        <is>
          <t>Archive review required</t>
        </is>
      </c>
      <c r="U64" s="2" t="inlineStr">
        <is>
          <t>Direct notice/resource lookup required</t>
        </is>
      </c>
      <c r="V64" s="2" t="inlineStr">
        <is>
          <t>Yes — 9 notice version(s)</t>
        </is>
      </c>
      <c r="W64" s="2" t="inlineStr">
        <is>
          <t>Unknown — archive retrieval required</t>
        </is>
      </c>
      <c r="X64" s="2" t="inlineStr">
        <is>
          <t>Not yet recovered</t>
        </is>
      </c>
      <c r="Y64" s="2" t="inlineStr"/>
      <c r="Z64" s="2" t="inlineStr"/>
      <c r="AA64" s="2" t="inlineStr"/>
      <c r="AB64" s="2" t="inlineStr"/>
      <c r="AC64" s="2" t="inlineStr">
        <is>
          <t>No parent vehicle indicated at solicitation intake; verify clauses</t>
        </is>
      </c>
      <c r="AD64" s="2" t="inlineStr">
        <is>
          <t>Potentially yes — direct solicitation or combined notice</t>
        </is>
      </c>
      <c r="AE64" s="2" t="inlineStr">
        <is>
          <t>No evidence in metadata; verify solicitation</t>
        </is>
      </c>
      <c r="AF64" s="2" t="inlineStr">
        <is>
          <t>Potentially yes — subject to historical SAM registration and representations</t>
        </is>
      </c>
      <c r="AG64" s="2" t="inlineStr">
        <is>
          <t>No conflict detected in metadata; exact product review required</t>
        </is>
      </c>
      <c r="AH64" s="2" t="inlineStr">
        <is>
          <t>Exact product/NSN review required</t>
        </is>
      </c>
      <c r="AI64" s="2" t="inlineStr">
        <is>
          <t>Rental / lease</t>
        </is>
      </c>
      <c r="AJ64" s="2" t="inlineStr">
        <is>
          <t>Promising metadata; archive requirements review required</t>
        </is>
      </c>
      <c r="AK64" s="2" t="inlineStr">
        <is>
          <t>Unknown — never infer from award amount</t>
        </is>
      </c>
      <c r="AL64" s="2" t="inlineStr">
        <is>
          <t>Not modeled before archive and supplier-pricing gates</t>
        </is>
      </c>
      <c r="AM64" s="2" t="inlineStr">
        <is>
          <t>Unclassified pending requirements and sourcing</t>
        </is>
      </c>
      <c r="AN64" s="2" t="inlineStr">
        <is>
          <t>Not modeled before supplier pricing</t>
        </is>
      </c>
      <c r="AO64" s="2" t="inlineStr">
        <is>
          <t>90</t>
        </is>
      </c>
      <c r="AP64" s="2" t="inlineStr">
        <is>
          <t>0</t>
        </is>
      </c>
      <c r="AQ64" s="2" t="inlineStr">
        <is>
          <t>Strikeout</t>
        </is>
      </c>
      <c r="AR64" s="2" t="inlineStr">
        <is>
          <t>Gate 6 — product/service exclusion</t>
        </is>
      </c>
      <c r="AS64" s="2" t="inlineStr">
        <is>
          <t>NO-BID / CONTROL</t>
        </is>
      </c>
      <c r="AT64" s="2" t="inlineStr">
        <is>
          <t>Moderate — official extract metadata; direct archive review pending</t>
        </is>
      </c>
      <c r="AU64" s="2" t="inlineStr">
        <is>
          <t>Selection role: Target-lane candidate. Solicitation family contains 9 notice version(s): fbe52bb7944a47c088b6ff5f42f1181c; 8bdf826737a44a55bf86d8d5778d329a; 69bb963bd2b14be382b16074334d1791; 7ef0054294a8412fa468b34e2d13b722; b856cd8a514d44109d802c9dae7cff5f; c3ce65788cc94548901448cff4d6809a; 4741d925b9c048c6a661fd5cb54b82e4; 404a16913bba4d109e621d20a1e38ac9; b1b65ba2dd57436bb0f3fd865be959e3. Representative notice chosen by detail score, not outcome. Historical award mapping did not control selection.</t>
        </is>
      </c>
      <c r="AV64" s="2" t="inlineStr">
        <is>
          <t>67477</t>
        </is>
      </c>
    </row>
    <row r="65">
      <c r="A65" s="2" t="inlineStr">
        <is>
          <t>HOS01-064</t>
        </is>
      </c>
      <c r="B65" s="2" t="inlineStr">
        <is>
          <t>a0f5b79e1e9d481aaae324eea700df7e</t>
        </is>
      </c>
      <c r="C65" s="2" t="inlineStr">
        <is>
          <t>N0010422QFF04</t>
        </is>
      </c>
      <c r="D65" s="2" t="inlineStr">
        <is>
          <t>https://sam.gov/workspace/contract/opp/a0f5b79e1e9d481aaae324eea700df7e/view</t>
        </is>
      </c>
      <c r="E65" s="2" t="inlineStr">
        <is>
          <t>Solicitation</t>
        </is>
      </c>
      <c r="F65" s="2" t="inlineStr">
        <is>
          <t>2023-02-13</t>
        </is>
      </c>
      <c r="G65" s="2" t="inlineStr">
        <is>
          <t>2023-03-10</t>
        </is>
      </c>
      <c r="H65" s="2" t="inlineStr">
        <is>
          <t>DEPT OF DEFENSE</t>
        </is>
      </c>
      <c r="I65" s="2" t="inlineStr">
        <is>
          <t>DEPT OF THE NAVY</t>
        </is>
      </c>
      <c r="J65" s="2" t="inlineStr">
        <is>
          <t>NAVSUP WEAPON SYSTEMS SUPPORT MECH</t>
        </is>
      </c>
      <c r="K65" s="2" t="inlineStr">
        <is>
          <t>CYLINDER ASSEMBLY,A</t>
        </is>
      </c>
      <c r="L65" s="2" t="inlineStr">
        <is>
          <t>CONTACT INFORMATION|4|x|x|x|x| ITEM UNIQUE IDENTIFICATION AND VALUATION (MAR 2022)|19|||||||||||||||||||| INSPECTION OF SUPPLIES--FIXED-PRICE (AUG 1996)|2||| INSPECTION AND ACCEPTANCE OF SUPPLIES|26||||||||||||||||||||||||||| WIDE AREA WORKFLOW PAYMENT INSTRUCTIONS (DEC 2018)|16|x||x|x|x|x|x|x|||x|||||| NAVY USE OF ABILITYONE SUPPORT CONTRACTOR - RELEASE OF OFFEROR INFORMATION (3-18))|1|| EQUAL OPPORTUNITY (SEP 2016)|2||| EQUAL OPPORTUNITY FOR VETERANS (JUN 2020)|4||||| BUY AMERICAN --FREE TRADE AGREEMENTS--BALANCE OF PAYMENTS PROGRAM - BASIC(DEVIATION 2020-O0019) (MAR 2022))|3|||| ESTIMATE OF PERCENTAGE OF RECOVERED MATERIAL CONTENT FOR EPA DESIGNATED ITEMS (MAY 2008))|1|| ALTERNATE A, ANNUAL REPRESENTATIONS AND CERTIFICATIONS (NOV 2020)|13|||||||||||||| ANNUAL REPRESENTATIONS AND CERTIFICATIONS (JAN 2022)|13|333613|750|||||||||||| NOTICE OF PRIORITY RATING FOR NATIONAL DEFENSE, EMERGENCY PERPARDENESS, AND ENRGY PROGAM USE (APRIL 2008))|2||x| This amendment is hereby issued to extend the due date until 10 MAR 2023. POC is hereby changed to benjamin.t.spangler.civ@us.navy.mil All other terms and conditions remain unchanged. This RFQ is hereby extended until 08 SEP 2022. All other terms and conditions remain unchanged. \ This RFQ is hereby extended until 05 AUG 2022. All other terms and conditions remain unchanged. \ This is being issued in accordance with Special Emergency Procurement Authority(SEPA). All contractual documents (i.e. Contracts, Purchase Orders, Task Orders,Delivery Options, and Modifications) related to the instant procurement areconsidered to be "Issued" by the Government when copies are either deposited inthe mail, transmitted by Facsimile, or sent by other electronic commercemethods such as email. The Government's acceptance of the contractor's propos</t>
        </is>
      </c>
      <c r="M65" s="2" t="inlineStr">
        <is>
          <t>333998</t>
        </is>
      </c>
      <c r="N65" s="2" t="inlineStr">
        <is>
          <t>99</t>
        </is>
      </c>
      <c r="O65" s="2" t="inlineStr"/>
      <c r="P65" s="2" t="inlineStr">
        <is>
          <t>Unknown pre-award; historical award retained only as answer key when mapped</t>
        </is>
      </c>
      <c r="Q65" s="2" t="inlineStr">
        <is>
          <t>Excluded or control category</t>
        </is>
      </c>
      <c r="R65" s="2" t="inlineStr">
        <is>
          <t>MRO tools and commercial hardware</t>
        </is>
      </c>
      <c r="S65" s="2" t="inlineStr"/>
      <c r="T65" s="2" t="inlineStr">
        <is>
          <t>Archive review required</t>
        </is>
      </c>
      <c r="U65" s="2" t="inlineStr">
        <is>
          <t>Direct notice/resource lookup required</t>
        </is>
      </c>
      <c r="V65" s="2" t="inlineStr">
        <is>
          <t>Yes — 2 notice version(s)</t>
        </is>
      </c>
      <c r="W65" s="2" t="inlineStr">
        <is>
          <t>Unknown — archive retrieval required</t>
        </is>
      </c>
      <c r="X65" s="2" t="inlineStr">
        <is>
          <t>Not yet recovered</t>
        </is>
      </c>
      <c r="Y65" s="2" t="inlineStr"/>
      <c r="Z65" s="2" t="inlineStr"/>
      <c r="AA65" s="2" t="inlineStr"/>
      <c r="AB65" s="2" t="inlineStr"/>
      <c r="AC65" s="2" t="inlineStr">
        <is>
          <t>No parent vehicle indicated at solicitation intake; verify clauses</t>
        </is>
      </c>
      <c r="AD65" s="2" t="inlineStr">
        <is>
          <t>Potentially yes — direct solicitation or combined notice</t>
        </is>
      </c>
      <c r="AE65" s="2" t="inlineStr">
        <is>
          <t>No evidence in metadata; verify solicitation</t>
        </is>
      </c>
      <c r="AF65" s="2" t="inlineStr">
        <is>
          <t>Potentially yes — subject to historical SAM registration and representations</t>
        </is>
      </c>
      <c r="AG65" s="2" t="inlineStr">
        <is>
          <t>Probable mandatory-source conflict</t>
        </is>
      </c>
      <c r="AH65" s="2" t="inlineStr">
        <is>
          <t>Exact product/NSN review required</t>
        </is>
      </c>
      <c r="AI65" s="2" t="inlineStr">
        <is>
          <t>Rental / lease</t>
        </is>
      </c>
      <c r="AJ65" s="2" t="inlineStr">
        <is>
          <t>Promising metadata; archive requirements review required</t>
        </is>
      </c>
      <c r="AK65" s="2" t="inlineStr">
        <is>
          <t>Unknown — never infer from award amount</t>
        </is>
      </c>
      <c r="AL65" s="2" t="inlineStr">
        <is>
          <t>Not modeled before archive and supplier-pricing gates</t>
        </is>
      </c>
      <c r="AM65" s="2" t="inlineStr">
        <is>
          <t>Unclassified pending requirements and sourcing</t>
        </is>
      </c>
      <c r="AN65" s="2" t="inlineStr">
        <is>
          <t>Not modeled before supplier pricing</t>
        </is>
      </c>
      <c r="AO65" s="2" t="inlineStr">
        <is>
          <t>0</t>
        </is>
      </c>
      <c r="AP65" s="2" t="inlineStr">
        <is>
          <t>0</t>
        </is>
      </c>
      <c r="AQ65" s="2" t="inlineStr">
        <is>
          <t>Strikeout</t>
        </is>
      </c>
      <c r="AR65" s="2" t="inlineStr">
        <is>
          <t>Gate 5 — mandatory source</t>
        </is>
      </c>
      <c r="AS65" s="2" t="inlineStr">
        <is>
          <t>NO-BID / CONTROL</t>
        </is>
      </c>
      <c r="AT65" s="2" t="inlineStr">
        <is>
          <t>Moderate — official extract metadata; direct archive review pending</t>
        </is>
      </c>
      <c r="AU65" s="2" t="inlineStr">
        <is>
          <t>Selection role: Target-lane candidate. Solicitation family contains 2 notice version(s): a0f5b79e1e9d481aaae324eea700df7e; 8078ffac55ea488caa21ef9cd1b0d8fe. Representative notice chosen by detail score, not outcome. Historical award mapping did not control selection.</t>
        </is>
      </c>
      <c r="AV65" s="2" t="inlineStr">
        <is>
          <t>69931</t>
        </is>
      </c>
    </row>
    <row r="66">
      <c r="A66" s="2" t="inlineStr">
        <is>
          <t>HOS01-065</t>
        </is>
      </c>
      <c r="B66" s="2" t="inlineStr">
        <is>
          <t>45b16e83d4c84228a437e062f29e5f96</t>
        </is>
      </c>
      <c r="C66" s="2" t="inlineStr">
        <is>
          <t>N6660423Q0420</t>
        </is>
      </c>
      <c r="D66" s="2" t="inlineStr">
        <is>
          <t>https://sam.gov/workspace/contract/opp/45b16e83d4c84228a437e062f29e5f96/view</t>
        </is>
      </c>
      <c r="E66" s="2" t="inlineStr">
        <is>
          <t>Solicitation</t>
        </is>
      </c>
      <c r="F66" s="2" t="inlineStr">
        <is>
          <t>2023-05-31</t>
        </is>
      </c>
      <c r="G66" s="2" t="inlineStr">
        <is>
          <t>2023-08-04</t>
        </is>
      </c>
      <c r="H66" s="2" t="inlineStr">
        <is>
          <t>DEPT OF DEFENSE</t>
        </is>
      </c>
      <c r="I66" s="2" t="inlineStr">
        <is>
          <t>DEPT OF THE NAVY</t>
        </is>
      </c>
      <c r="J66" s="2" t="inlineStr">
        <is>
          <t>NUWC DIV NEWPORT</t>
        </is>
      </c>
      <c r="K66" s="2" t="inlineStr">
        <is>
          <t>Launch Control Display Panels and Spares Kit</t>
        </is>
      </c>
      <c r="L66" s="2" t="inlineStr">
        <is>
          <t>Please see attached documents. Amendment 0008: Please see the "Amendment 0008" Document for all information pertaining to this amendment. Amendment 0007: Please see the "Amendment 0007" Document for all information pertaining to this amendment. Amendment 0006: Please see the "Amendment 0006" Document for all infromation pertaining to this amendment. The purpose of Amendment 0005 is to: Provide the final SOW as Attachment �SOW�. As a result, �DRAFT SOW� has been removed from this Notice. The word �Draft� preceding all instances of the phrase �Statement of Work� is deleted from this Notice. Replace Attachment �Amendment 0004 Pricing Table and CLIN Structure Rearrangement� with �Amendment 0005 Pricing Table and CLIN Structure Clarification�. Offerors shall fill in �Amendment 0005 Pricing Table and CLIN Structure Clarification� with pricing information and submit the completed Excel sheet with their quote. Replace Attachment �RFQ� with �RFQ Rev. 01� Note that revisions are marked in red text and deleted text is struck through. Submission date is extended to 26 July 2023 at 1400. Amendment 0004 is update the Section B Pricing Table that was provided in Amendment 0003 to reflect step ladder pricing as well as rearrange the CLIN structure. See attachment "Amendment 0004 Pricing Table and CLIN structure Rearrangment". Amendment 0003 is to address industry questions. Please see attached document "Amendment 0003 - Industry Questions". Amendment 0001 is to address industry questions and clarify CLIN Structure.. Q.1. Has shick qualification been completed? Will the awardee be required to retain a copy of the NAVSEA LTR 9470 SER 450TC/0241 on file? A.1. Yes, the LCDPs are shock qualified. The awardee will not be required to reetain a copy of the NAVSEA letter. Q.2. Will gerbers be p</t>
        </is>
      </c>
      <c r="M66" s="2" t="inlineStr">
        <is>
          <t>541330</t>
        </is>
      </c>
      <c r="N66" s="2" t="inlineStr">
        <is>
          <t>5998</t>
        </is>
      </c>
      <c r="O66" s="2" t="inlineStr"/>
      <c r="P66" s="2" t="inlineStr">
        <is>
          <t>Unknown pre-award; historical award retained only as answer key when mapped</t>
        </is>
      </c>
      <c r="Q66" s="2" t="inlineStr">
        <is>
          <t>Excluded or control category</t>
        </is>
      </c>
      <c r="R66" s="2" t="inlineStr">
        <is>
          <t>MRO tools and commercial hardware</t>
        </is>
      </c>
      <c r="S66" s="2" t="inlineStr">
        <is>
          <t>USA</t>
        </is>
      </c>
      <c r="T66" s="2" t="inlineStr">
        <is>
          <t>USA</t>
        </is>
      </c>
      <c r="U66" s="2" t="inlineStr">
        <is>
          <t>Direct notice/resource lookup required</t>
        </is>
      </c>
      <c r="V66" s="2" t="inlineStr">
        <is>
          <t>Yes — 10 notice version(s)</t>
        </is>
      </c>
      <c r="W66" s="2" t="inlineStr">
        <is>
          <t>Unknown — archive retrieval required</t>
        </is>
      </c>
      <c r="X66" s="2" t="inlineStr">
        <is>
          <t>Not yet recovered</t>
        </is>
      </c>
      <c r="Y66" s="2" t="inlineStr"/>
      <c r="Z66" s="2" t="inlineStr"/>
      <c r="AA66" s="2" t="inlineStr"/>
      <c r="AB66" s="2" t="inlineStr"/>
      <c r="AC66" s="2" t="inlineStr">
        <is>
          <t>No parent vehicle indicated at solicitation intake; verify clauses</t>
        </is>
      </c>
      <c r="AD66" s="2" t="inlineStr">
        <is>
          <t>Potentially yes — direct solicitation or combined notice</t>
        </is>
      </c>
      <c r="AE66" s="2" t="inlineStr">
        <is>
          <t>No evidence in metadata; verify solicitation</t>
        </is>
      </c>
      <c r="AF66" s="2" t="inlineStr">
        <is>
          <t>Potentially yes — subject to historical SAM registration and representations</t>
        </is>
      </c>
      <c r="AG66" s="2" t="inlineStr">
        <is>
          <t>No conflict detected in metadata; exact product review required</t>
        </is>
      </c>
      <c r="AH66" s="2" t="inlineStr">
        <is>
          <t>Exact product/NSN review required</t>
        </is>
      </c>
      <c r="AI66" s="2" t="inlineStr">
        <is>
          <t>Rental / lease</t>
        </is>
      </c>
      <c r="AJ66" s="2" t="inlineStr">
        <is>
          <t>Promising metadata; archive requirements review required</t>
        </is>
      </c>
      <c r="AK66" s="2" t="inlineStr">
        <is>
          <t>Unknown — never infer from award amount</t>
        </is>
      </c>
      <c r="AL66" s="2" t="inlineStr">
        <is>
          <t>Not modeled before archive and supplier-pricing gates</t>
        </is>
      </c>
      <c r="AM66" s="2" t="inlineStr">
        <is>
          <t>Unclassified pending requirements and sourcing</t>
        </is>
      </c>
      <c r="AN66" s="2" t="inlineStr">
        <is>
          <t>Not modeled before supplier pricing</t>
        </is>
      </c>
      <c r="AO66" s="2" t="inlineStr">
        <is>
          <t>90</t>
        </is>
      </c>
      <c r="AP66" s="2" t="inlineStr">
        <is>
          <t>0</t>
        </is>
      </c>
      <c r="AQ66" s="2" t="inlineStr">
        <is>
          <t>Strikeout</t>
        </is>
      </c>
      <c r="AR66" s="2" t="inlineStr">
        <is>
          <t>Gate 6 — product/service exclusion</t>
        </is>
      </c>
      <c r="AS66" s="2" t="inlineStr">
        <is>
          <t>NO-BID / CONTROL</t>
        </is>
      </c>
      <c r="AT66" s="2" t="inlineStr">
        <is>
          <t>Moderate — official extract metadata; direct archive review pending</t>
        </is>
      </c>
      <c r="AU66" s="2" t="inlineStr">
        <is>
          <t>Selection role: Target-lane candidate. Solicitation family contains 10 notice version(s): 47f7ae0b7a1b41daba57c8486fc58299; 592305bc60544352b7204d4b0549adbe; aeceebc9abd0429fa97a5aa2d1580c24; b6c5c8dbbbc44f2c8401570954bf3f3f; 99220a0d5eee445cacea6045657aecbd; 90851cf0f62846a6a9ec698d72bda923; 1e2f1355f5a042b2969f3797bc130c63; a821129ac1a3406eadebe05d16f4eeb1; 5b61025e3e244137a1b574f1cd63eed0; 45b16e83d4c84228a437e062f29e5f96. Representative notice chosen by detail score, not outcome. Historical award mapping did not control selection.</t>
        </is>
      </c>
      <c r="AV66" s="2" t="inlineStr">
        <is>
          <t>68587</t>
        </is>
      </c>
    </row>
    <row r="67">
      <c r="A67" s="2" t="inlineStr">
        <is>
          <t>HOS01-066</t>
        </is>
      </c>
      <c r="B67" s="2" t="inlineStr">
        <is>
          <t>7a48cfd540ea4a2688a12df184984611</t>
        </is>
      </c>
      <c r="C67" s="2" t="inlineStr">
        <is>
          <t>QSE--36C78624Q50037</t>
        </is>
      </c>
      <c r="D67" s="2" t="inlineStr">
        <is>
          <t>https://sam.gov/workspace/contract/opp/7a48cfd540ea4a2688a12df184984611/view</t>
        </is>
      </c>
      <c r="E67" s="2" t="inlineStr">
        <is>
          <t>Combined Synopsis/Solicitation</t>
        </is>
      </c>
      <c r="F67" s="2" t="inlineStr">
        <is>
          <t>2023-12-19</t>
        </is>
      </c>
      <c r="G67" s="2" t="inlineStr">
        <is>
          <t>2024-01-18</t>
        </is>
      </c>
      <c r="H67" s="2" t="inlineStr">
        <is>
          <t>VETERANS AFFAIRS, DEPARTMENT OF</t>
        </is>
      </c>
      <c r="I67" s="2" t="inlineStr">
        <is>
          <t>VETERANS AFFAIRS, DEPARTMENT OF</t>
        </is>
      </c>
      <c r="J67" s="2" t="inlineStr">
        <is>
          <t>NATIONAL CEMETERY ADMIN (36C786)</t>
        </is>
      </c>
      <c r="K67" s="2" t="inlineStr">
        <is>
          <t>The Calverton National Cemetery is in need of RedMax 5lb spools, part number 588049609. -- 3710</t>
        </is>
      </c>
      <c r="L67" s="2" t="inlineStr">
        <is>
          <t>The Calverton National Cemetery is in need of RedMax 5lb spools, part number 588049609. -- 3710 NEW CONTRACT FOR TRIMMER LINE BASE YEAR PLUS 4 OPTION YEARS AT CALVERTON NATONAL CEMETERY, IGCE, SOW, BNJ JUSTIFICATION, EVALUATION CRITERIA, CONTRACT SECURITY CHECKLIST, MARKET RESEARCH, &amp; COR CERTIFICATES - SUBJECT TO THE AVAILABILITY OF FY24 FUNDING The Calverton National Cemetery is in need of RedMax, 0.095 string line, 5lb spools, part number: 588049609.</t>
        </is>
      </c>
      <c r="M67" s="2" t="inlineStr">
        <is>
          <t>333515</t>
        </is>
      </c>
      <c r="N67" s="2" t="inlineStr">
        <is>
          <t>3710</t>
        </is>
      </c>
      <c r="O67" s="2" t="inlineStr">
        <is>
          <t>Service-Disabled Veteran-Owned Small Business Set Aside</t>
        </is>
      </c>
      <c r="P67" s="2" t="inlineStr">
        <is>
          <t>Unknown pre-award; historical award retained only as answer key when mapped</t>
        </is>
      </c>
      <c r="Q67" s="2" t="inlineStr">
        <is>
          <t>Product / commercial supply candidate</t>
        </is>
      </c>
      <c r="R67" s="2" t="inlineStr">
        <is>
          <t>Mixed controls</t>
        </is>
      </c>
      <c r="S67" s="2" t="inlineStr">
        <is>
          <t>Calverton, NY, 11933, USA</t>
        </is>
      </c>
      <c r="T67" s="2" t="inlineStr">
        <is>
          <t>Calverton, NY, 11933, USA</t>
        </is>
      </c>
      <c r="U67" s="2" t="inlineStr">
        <is>
          <t>Direct notice/resource lookup required</t>
        </is>
      </c>
      <c r="V67" s="2" t="inlineStr">
        <is>
          <t>Yes — 2 notice version(s)</t>
        </is>
      </c>
      <c r="W67" s="2" t="inlineStr">
        <is>
          <t>Unknown — archive retrieval required</t>
        </is>
      </c>
      <c r="X67" s="2" t="inlineStr">
        <is>
          <t>Not yet recovered</t>
        </is>
      </c>
      <c r="Y67" s="2" t="inlineStr"/>
      <c r="Z67" s="2" t="inlineStr"/>
      <c r="AA67" s="2" t="inlineStr"/>
      <c r="AB67" s="2" t="inlineStr"/>
      <c r="AC67" s="2" t="inlineStr">
        <is>
          <t>No parent vehicle indicated at solicitation intake; verify clauses</t>
        </is>
      </c>
      <c r="AD67" s="2" t="inlineStr">
        <is>
          <t>Potentially yes — direct solicitation or combined notice</t>
        </is>
      </c>
      <c r="AE67" s="2" t="inlineStr">
        <is>
          <t>No evidence in metadata; verify solicitation</t>
        </is>
      </c>
      <c r="AF67" s="2" t="inlineStr">
        <is>
          <t>No — socioeconomic set-aside not held by GGG</t>
        </is>
      </c>
      <c r="AG67" s="2" t="inlineStr">
        <is>
          <t>No conflict detected in metadata; exact product review required</t>
        </is>
      </c>
      <c r="AH67" s="2" t="inlineStr">
        <is>
          <t>Exact product/NSN review required</t>
        </is>
      </c>
      <c r="AI67" s="2" t="inlineStr">
        <is>
          <t>Pass / no automatic exclusion detected</t>
        </is>
      </c>
      <c r="AJ67" s="2" t="inlineStr">
        <is>
          <t>Promising metadata; archive requirements review required</t>
        </is>
      </c>
      <c r="AK67" s="2" t="inlineStr">
        <is>
          <t>Unknown — never infer from award amount</t>
        </is>
      </c>
      <c r="AL67" s="2" t="inlineStr">
        <is>
          <t>Not modeled before archive and supplier-pricing gates</t>
        </is>
      </c>
      <c r="AM67" s="2" t="inlineStr">
        <is>
          <t>Unclassified pending requirements and sourcing</t>
        </is>
      </c>
      <c r="AN67" s="2" t="inlineStr">
        <is>
          <t>Not modeled before supplier pricing</t>
        </is>
      </c>
      <c r="AO67" s="2" t="inlineStr">
        <is>
          <t>0</t>
        </is>
      </c>
      <c r="AP67" s="2" t="inlineStr">
        <is>
          <t>60</t>
        </is>
      </c>
      <c r="AQ67" s="2" t="inlineStr">
        <is>
          <t>Strikeout</t>
        </is>
      </c>
      <c r="AR67" s="2" t="inlineStr">
        <is>
          <t>Gate 4 — GGG eligibility</t>
        </is>
      </c>
      <c r="AS67" s="2" t="inlineStr">
        <is>
          <t>NO-BID / CONTROL</t>
        </is>
      </c>
      <c r="AT67" s="2" t="inlineStr">
        <is>
          <t>Moderate — official extract metadata; direct archive review pending</t>
        </is>
      </c>
      <c r="AU67" s="2" t="inlineStr">
        <is>
          <t>Selection role: Target-lane candidate. Solicitation family contains 2 notice version(s): 7a48cfd540ea4a2688a12df184984611; 7d2a240bbbbe4719b793ee4e6018317c. Representative notice chosen by detail score, not outcome. Historical award mapping did not control selection.</t>
        </is>
      </c>
      <c r="AV67" s="2" t="inlineStr">
        <is>
          <t>67671</t>
        </is>
      </c>
    </row>
    <row r="68">
      <c r="A68" s="2" t="inlineStr">
        <is>
          <t>HOS01-067</t>
        </is>
      </c>
      <c r="B68" s="2" t="inlineStr">
        <is>
          <t>6f7a4f5f3541497cb18c894ed7fd1974</t>
        </is>
      </c>
      <c r="C68" s="2" t="inlineStr">
        <is>
          <t>12024B23Q7001</t>
        </is>
      </c>
      <c r="D68" s="2" t="inlineStr">
        <is>
          <t>https://sam.gov/workspace/contract/opp/6f7a4f5f3541497cb18c894ed7fd1974/view</t>
        </is>
      </c>
      <c r="E68" s="2" t="inlineStr">
        <is>
          <t>Solicitation</t>
        </is>
      </c>
      <c r="F68" s="2" t="inlineStr">
        <is>
          <t>2023-03-20</t>
        </is>
      </c>
      <c r="G68" s="2" t="inlineStr">
        <is>
          <t>2024-04-08</t>
        </is>
      </c>
      <c r="H68" s="2" t="inlineStr">
        <is>
          <t>AGRICULTURE, DEPARTMENT OF</t>
        </is>
      </c>
      <c r="I68" s="2" t="inlineStr">
        <is>
          <t>FOREST SERVICE</t>
        </is>
      </c>
      <c r="J68" s="2" t="inlineStr">
        <is>
          <t>USDA FOREST SERVICE</t>
        </is>
      </c>
      <c r="K68" s="2" t="inlineStr">
        <is>
          <t>VIPR I-BPA for Advanced Life Support (ALS) and Basic Life Support (BLS) Ambulance Service for Region 13 - National</t>
        </is>
      </c>
      <c r="L68" s="2" t="inlineStr">
        <is>
          <t>Re-open Solicitation. Vendor responses to the solicitation are due 04/08/2024 17:00 MDT. Please access the 'Open Solicitations' tab in the VIPR Vendor application (https://apps.fs.usda.gov/vipr/vendor/) to start your response. The Department of Agriculture (USDA), US Forest Service (USFS), National Zone requirement for Ambulances for use during Local, Regional, and nationwide fire suppression and all-hazard incidents was originally solicited under solicitation number 12024B23Q7001. This amendment is to re-open this solicitation to conduct an open season On-Ramping in accordance with Exhibit H - Special Contract Requirements of the original solicitation. IMPORTANT NOTE: On-Ramping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On-Ramping is against a Multiple Award Incident Blanket Purchase Agreement (IBPA) solicitation issued as a partial set-aside for</t>
        </is>
      </c>
      <c r="M68" s="2" t="inlineStr">
        <is>
          <t>621910</t>
        </is>
      </c>
      <c r="N68" s="2" t="inlineStr">
        <is>
          <t>F003</t>
        </is>
      </c>
      <c r="O68" s="2" t="inlineStr"/>
      <c r="P68" s="2" t="inlineStr">
        <is>
          <t>Unknown pre-award; historical award retained only as answer key when mapped</t>
        </is>
      </c>
      <c r="Q68" s="2" t="inlineStr">
        <is>
          <t>Excluded or control category</t>
        </is>
      </c>
      <c r="R68" s="2" t="inlineStr">
        <is>
          <t>Office and facility consumables</t>
        </is>
      </c>
      <c r="S68" s="2" t="inlineStr"/>
      <c r="T68" s="2" t="inlineStr">
        <is>
          <t>Archive review required</t>
        </is>
      </c>
      <c r="U68" s="2" t="inlineStr">
        <is>
          <t>Direct notice/resource lookup required</t>
        </is>
      </c>
      <c r="V68" s="2" t="inlineStr">
        <is>
          <t>Yes — 5 notice version(s)</t>
        </is>
      </c>
      <c r="W68" s="2" t="inlineStr">
        <is>
          <t>Unknown — archive retrieval required</t>
        </is>
      </c>
      <c r="X68" s="2" t="inlineStr">
        <is>
          <t>Not yet recovered</t>
        </is>
      </c>
      <c r="Y68" s="2" t="inlineStr"/>
      <c r="Z68" s="2" t="inlineStr"/>
      <c r="AA68" s="2" t="inlineStr"/>
      <c r="AB68" s="2" t="inlineStr"/>
      <c r="AC68" s="2" t="inlineStr">
        <is>
          <t>No parent vehicle indicated at solicitation intake; verify clauses</t>
        </is>
      </c>
      <c r="AD68" s="2" t="inlineStr">
        <is>
          <t>Potentially yes — direct solicitation or combined notice</t>
        </is>
      </c>
      <c r="AE68" s="2" t="inlineStr">
        <is>
          <t>No evidence in metadata; verify solicitation</t>
        </is>
      </c>
      <c r="AF68" s="2" t="inlineStr">
        <is>
          <t>Potentially yes — subject to historical SAM registration and representations</t>
        </is>
      </c>
      <c r="AG68" s="2" t="inlineStr">
        <is>
          <t>No conflict detected in metadata; exact product review required</t>
        </is>
      </c>
      <c r="AH68" s="2" t="inlineStr">
        <is>
          <t>Exact product/NSN review required</t>
        </is>
      </c>
      <c r="AI68" s="2" t="inlineStr">
        <is>
          <t>Rental / lease</t>
        </is>
      </c>
      <c r="AJ68" s="2" t="inlineStr">
        <is>
          <t>Promising metadata; archive requirements review required</t>
        </is>
      </c>
      <c r="AK68" s="2" t="inlineStr">
        <is>
          <t>Unknown — never infer from award amount</t>
        </is>
      </c>
      <c r="AL68" s="2" t="inlineStr">
        <is>
          <t>Not modeled before archive and supplier-pricing gates</t>
        </is>
      </c>
      <c r="AM68" s="2" t="inlineStr">
        <is>
          <t>Unclassified pending requirements and sourcing</t>
        </is>
      </c>
      <c r="AN68" s="2" t="inlineStr">
        <is>
          <t>Not modeled before supplier pricing</t>
        </is>
      </c>
      <c r="AO68" s="2" t="inlineStr">
        <is>
          <t>90</t>
        </is>
      </c>
      <c r="AP68" s="2" t="inlineStr">
        <is>
          <t>0</t>
        </is>
      </c>
      <c r="AQ68" s="2" t="inlineStr">
        <is>
          <t>Strikeout</t>
        </is>
      </c>
      <c r="AR68" s="2" t="inlineStr">
        <is>
          <t>Gate 6 — product/service exclusion</t>
        </is>
      </c>
      <c r="AS68" s="2" t="inlineStr">
        <is>
          <t>NO-BID / CONTROL</t>
        </is>
      </c>
      <c r="AT68" s="2" t="inlineStr">
        <is>
          <t>Moderate — official extract metadata; direct archive review pending</t>
        </is>
      </c>
      <c r="AU68" s="2" t="inlineStr">
        <is>
          <t>Selection role: Target-lane candidate. Solicitation family contains 5 notice version(s): 5192c4f610414a5bbeae1b147eabfcb0; ba5db8f92e6f4205b670465da164421c; 5a1e706dd4514c2087fbf0407bddfef7; 72137a9031be400f8ce6731a931dbf87; 6f7a4f5f3541497cb18c894ed7fd1974. Representative notice chosen by detail score, not outcome. Historical award mapping did not control selection.</t>
        </is>
      </c>
      <c r="AV68" s="2" t="inlineStr">
        <is>
          <t>67079</t>
        </is>
      </c>
    </row>
    <row r="69">
      <c r="A69" s="2" t="inlineStr">
        <is>
          <t>HOS01-068</t>
        </is>
      </c>
      <c r="B69" s="2" t="inlineStr">
        <is>
          <t>948e8bc8a6594aca84b36407943e6a35</t>
        </is>
      </c>
      <c r="C69" s="2" t="inlineStr">
        <is>
          <t>W912P622B0006</t>
        </is>
      </c>
      <c r="D69" s="2" t="inlineStr">
        <is>
          <t>https://sam.gov/workspace/contract/opp/948e8bc8a6594aca84b36407943e6a35/view</t>
        </is>
      </c>
      <c r="E69" s="2" t="inlineStr">
        <is>
          <t>Solicitation</t>
        </is>
      </c>
      <c r="F69" s="2" t="inlineStr">
        <is>
          <t>2023-02-01</t>
        </is>
      </c>
      <c r="G69" s="2" t="inlineStr">
        <is>
          <t>2023-03-03</t>
        </is>
      </c>
      <c r="H69" s="2" t="inlineStr">
        <is>
          <t>DEPT OF DEFENSE</t>
        </is>
      </c>
      <c r="I69" s="2" t="inlineStr">
        <is>
          <t>DEPT OF THE ARMY</t>
        </is>
      </c>
      <c r="J69" s="2" t="inlineStr">
        <is>
          <t>W072 ENDIST CHICAGO</t>
        </is>
      </c>
      <c r="K69" s="2" t="inlineStr">
        <is>
          <t>STORMWATER IMPROVEMENTS, HAMMOND, LAKE COUNTY, INDIANA (USACE ACQUISITION)</t>
        </is>
      </c>
      <c r="L69" s="2" t="inlineStr">
        <is>
          <t>EFFECTIVE MARCH 15, 2023: THIS IS AN UPDATE TO THIS SOLICITATION - Amendment No. 0002 has been added to the Attachment Section hereunder. - Ericka Hillard, Contract Specialist, Chicago District-USACE ***************************************************************************************************************************************************** EFFECTIVE MARCH 3, 2023: The government has attached the Bid Opening Results (please refer to the "Attachments" Section of this Notice). ***************************************************************************************************************************************************** VIRTUAL BID OPENING INFORMATION: THE VIRTUAL BID OPENING WILL BE CONDUCTED ON MARCH 3, 2023 AT 2:00 P.M. (CENTRAL TIME). AT THE DESIGNATED DAY AND TIME, PLEASE JOIN BY: MEETING LINK: https://usace1.webex.com/usace1/j.php?MTID=m4acf8b5de91e6fddbbdfeddd3a77fe45 Meeting number (access code): 2764 832 8744 Meeting password: drJmhAY84@3 OR, JOIN BY PHONE: 1-844-800-2712 US Toll Free 1-669-234-1177 US Toll Access code: 2764 832 8744 Conf ID: press the # sign TIME OF SUBMISSION: Bids are required one hour prior the time specified on Page 1 of this Solicitation, Block #13a. Please note, FAR Subpart 14.302 Bid submission; �Bids shall be submitted so that they will be received in the office designated in the invitation for bids not later than the exact time set for opening of bids.� *************************************************************************************************************************************************** EFFECTIVE FEBRUARY 23, 2023: The government has posted Amendment No. 0001 hereunder this Notice (please refer to the Attachments Section). ********************************************************************************************</t>
        </is>
      </c>
      <c r="M69" s="2" t="inlineStr">
        <is>
          <t>237110</t>
        </is>
      </c>
      <c r="N69" s="2" t="inlineStr">
        <is>
          <t>Y1ND</t>
        </is>
      </c>
      <c r="O69" s="2" t="inlineStr">
        <is>
          <t>Total Small Business Set-Aside (FAR 19.5)</t>
        </is>
      </c>
      <c r="P69" s="2" t="inlineStr">
        <is>
          <t>Unknown pre-award; historical award retained only as answer key when mapped</t>
        </is>
      </c>
      <c r="Q69" s="2" t="inlineStr">
        <is>
          <t>Excluded or control category</t>
        </is>
      </c>
      <c r="R69" s="2" t="inlineStr">
        <is>
          <t>Office and facility consumables</t>
        </is>
      </c>
      <c r="S69" s="2" t="inlineStr">
        <is>
          <t>Hammond, IN, USA</t>
        </is>
      </c>
      <c r="T69" s="2" t="inlineStr">
        <is>
          <t>Hammond, IN, USA</t>
        </is>
      </c>
      <c r="U69" s="2" t="inlineStr">
        <is>
          <t>Direct notice/resource lookup required</t>
        </is>
      </c>
      <c r="V69" s="2" t="inlineStr">
        <is>
          <t>Yes — 5 notice version(s)</t>
        </is>
      </c>
      <c r="W69" s="2" t="inlineStr">
        <is>
          <t>Unknown — archive retrieval required</t>
        </is>
      </c>
      <c r="X69" s="2" t="inlineStr">
        <is>
          <t>Not yet recovered</t>
        </is>
      </c>
      <c r="Y69" s="2" t="inlineStr"/>
      <c r="Z69" s="2" t="inlineStr"/>
      <c r="AA69" s="2" t="inlineStr"/>
      <c r="AB69" s="2" t="inlineStr"/>
      <c r="AC69" s="2" t="inlineStr">
        <is>
          <t>No parent vehicle indicated at solicitation intake; verify clauses</t>
        </is>
      </c>
      <c r="AD69" s="2" t="inlineStr">
        <is>
          <t>Potentially yes — direct solicitation or combined notice</t>
        </is>
      </c>
      <c r="AE69" s="2" t="inlineStr">
        <is>
          <t>No evidence in metadata; verify solicitation</t>
        </is>
      </c>
      <c r="AF69" s="2" t="inlineStr">
        <is>
          <t>Potentially yes — subject to historical SAM registration and representations</t>
        </is>
      </c>
      <c r="AG69" s="2" t="inlineStr">
        <is>
          <t>No conflict detected in metadata; exact product review required</t>
        </is>
      </c>
      <c r="AH69" s="2" t="inlineStr">
        <is>
          <t>Exact product/NSN review required</t>
        </is>
      </c>
      <c r="AI69" s="2" t="inlineStr">
        <is>
          <t>Construction / installation / repair / field service</t>
        </is>
      </c>
      <c r="AJ69" s="2" t="inlineStr">
        <is>
          <t>Promising metadata; archive requirements review required</t>
        </is>
      </c>
      <c r="AK69" s="2" t="inlineStr">
        <is>
          <t>Unknown — never infer from award amount</t>
        </is>
      </c>
      <c r="AL69" s="2" t="inlineStr">
        <is>
          <t>Not modeled before archive and supplier-pricing gates</t>
        </is>
      </c>
      <c r="AM69" s="2" t="inlineStr">
        <is>
          <t>Unclassified pending requirements and sourcing</t>
        </is>
      </c>
      <c r="AN69" s="2" t="inlineStr">
        <is>
          <t>Not modeled before supplier pricing</t>
        </is>
      </c>
      <c r="AO69" s="2" t="inlineStr">
        <is>
          <t>90</t>
        </is>
      </c>
      <c r="AP69" s="2" t="inlineStr">
        <is>
          <t>0</t>
        </is>
      </c>
      <c r="AQ69" s="2" t="inlineStr">
        <is>
          <t>Strikeout</t>
        </is>
      </c>
      <c r="AR69" s="2" t="inlineStr">
        <is>
          <t>Gate 6 — product/service exclusion</t>
        </is>
      </c>
      <c r="AS69" s="2" t="inlineStr">
        <is>
          <t>NO-BID / CONTROL</t>
        </is>
      </c>
      <c r="AT69" s="2" t="inlineStr">
        <is>
          <t>Moderate — official extract metadata; direct archive review pending</t>
        </is>
      </c>
      <c r="AU69" s="2" t="inlineStr">
        <is>
          <t>Selection role: Target-lane candidate. Solicitation family contains 5 notice version(s): 69e4bf8f10294370be2e8c7daa7e21c0; b80d1e8d649947caa4d2b14921e705ad; 7509bc1a99344fa2b1a9347d3407d7f8; b4cccc54a6dd4d47abc4a36b9502f9c9; 948e8bc8a6594aca84b36407943e6a35. Representative notice chosen by detail score, not outcome. Historical award mapping did not control selection.</t>
        </is>
      </c>
      <c r="AV69" s="2" t="inlineStr">
        <is>
          <t>69589</t>
        </is>
      </c>
    </row>
    <row r="70">
      <c r="A70" s="2" t="inlineStr">
        <is>
          <t>HOS01-069</t>
        </is>
      </c>
      <c r="B70" s="2" t="inlineStr">
        <is>
          <t>cb7a438b8379476dbdcb24a80cd47e3f</t>
        </is>
      </c>
      <c r="C70" s="2" t="inlineStr">
        <is>
          <t>N0010424QFD91</t>
        </is>
      </c>
      <c r="D70" s="2" t="inlineStr">
        <is>
          <t>https://sam.gov/workspace/contract/opp/cb7a438b8379476dbdcb24a80cd47e3f/view</t>
        </is>
      </c>
      <c r="E70" s="2" t="inlineStr">
        <is>
          <t>Solicitation</t>
        </is>
      </c>
      <c r="F70" s="2" t="inlineStr">
        <is>
          <t>2024-07-23</t>
        </is>
      </c>
      <c r="G70" s="2" t="inlineStr">
        <is>
          <t>2024-08-22</t>
        </is>
      </c>
      <c r="H70" s="2" t="inlineStr">
        <is>
          <t>DEPT OF DEFENSE</t>
        </is>
      </c>
      <c r="I70" s="2" t="inlineStr">
        <is>
          <t>DEPT OF THE NAVY</t>
        </is>
      </c>
      <c r="J70" s="2" t="inlineStr">
        <is>
          <t>NAVSUP WEAPON SYSTEMS SUPPORT MECH</t>
        </is>
      </c>
      <c r="K70" s="2" t="inlineStr">
        <is>
          <t>VALVE,BALL</t>
        </is>
      </c>
      <c r="L70" s="2" t="inlineStr">
        <is>
          <t>CONTACT INFORMATION|4|N743.5|TBD|7176053229|JOEL.J.CURTIS.CIV@US.NAVY.MIL| ITEM UNIQUE IDENTIFICATION AND VALUATION (JAN 2023)|19|||||||||||||||||||| HIGHER-LEVEL CONTRACT QUALITY REQUIREMENT (NAVICP REVIEW FEB 1991)(FEB 1999)|1|See specification sections C and E.| INSPECTION OF SUPPLIES--FIXED-PRICE (AUG 1996)|2||| GENERAL INFORMATION-FOB-DESTINATION|1|B| REPAIR DELIVERY (FIRM FIXED PRICE)|1|365| WIDE AREA WORKFLOW PAYMENT INSTRUCTIONS (JAN 2023)|16|Stand-Alone Receiving Report-Certifications Combo-Receiving Report &amp; Invoice-Material |NA|TBD|N00104|TBD|N39040-Certifications, S4306A-Material |N50286|TBD|133.2|NA|NA|NAN39040-Certifications|NA|NA|SEE DD 1423 |PORT_PTNH_WAWF_NOTIFICATION@NAVY.MIL| NAVY USE OF ABILITYONE SUPPORT CONTRACTOR - RELEASE OF OFFEROR INFORMATION (3-18))|1|| FIRM FIXED PRICE REPAIR PURCHASE ORDERS|1|| EQUAL OPPORTUNITY (SEP 2016)|2||| WARRANTY OF SUPPLIES OF A NONCOMPLEX NATURE (JUNE 2003)|6|One year from date of delivery.|One year from date of delivery.||||| WARRANTY OF DATA--BASIC (MAR 2014)|2||| BUY AMERICAN-FREE TRADE AGREEMENTS-BALANCE OF PAYMENTS PROGRAM-BASIC (FEB 2024)|11|||||||||||| NOTICE OF TOTAL SMALL BUSINESS SET-ASIDE (OCT 2020)(DEVIATION 2020-O0008)|1|| ALTERNATE A, ANNUAL REPRESENTATIONS AND CERTIFICATIONS (NOV 2023)|13|||||||||||||| BUY AMERICAN-FREE TRADE AGREEMENTS-BALANCE OF PAYMENTS PROGRAM CERTIFICATE-BASIC (FEB 2024))|5|||||| BUY AMERICAN-BALANCE OF PAYMENTS PROGRAM CERTIFICATE-BASIC (FEB 2024)|1|| ANNUAL REPRESENTATIONS AND CERTIFICATIONS (MAY 2024)|13|332919|750 EMPLOYEES|||||||||||| NOTICE OF PRIORITY RATING FOR NATIONAL DEFENSE, EMERGENCY PERPARDENESS, AND ENRGY PROGAM USE (APRIL 2008))|2||B| 1. Data Item A001 (inspection and Test Plan) may be waived if already on file at NAVSUP WSS Mech. 2.Drawings associated with this s</t>
        </is>
      </c>
      <c r="M70" s="2" t="inlineStr">
        <is>
          <t>332919</t>
        </is>
      </c>
      <c r="N70" s="2" t="inlineStr">
        <is>
          <t>4820</t>
        </is>
      </c>
      <c r="O70" s="2" t="inlineStr"/>
      <c r="P70" s="2" t="inlineStr">
        <is>
          <t>Unknown pre-award; historical award retained only as answer key when mapped</t>
        </is>
      </c>
      <c r="Q70" s="2" t="inlineStr">
        <is>
          <t>Excluded or control category</t>
        </is>
      </c>
      <c r="R70" s="2" t="inlineStr">
        <is>
          <t>MRO tools and commercial hardware</t>
        </is>
      </c>
      <c r="S70" s="2" t="inlineStr"/>
      <c r="T70" s="2" t="inlineStr">
        <is>
          <t>Archive review required</t>
        </is>
      </c>
      <c r="U70" s="2" t="inlineStr">
        <is>
          <t>Direct notice/resource lookup required</t>
        </is>
      </c>
      <c r="V70" s="2" t="inlineStr">
        <is>
          <t>Yes — 2 notice version(s)</t>
        </is>
      </c>
      <c r="W70" s="2" t="inlineStr">
        <is>
          <t>Unknown — archive retrieval required</t>
        </is>
      </c>
      <c r="X70" s="2" t="inlineStr">
        <is>
          <t>Not yet recovered</t>
        </is>
      </c>
      <c r="Y70" s="2" t="inlineStr"/>
      <c r="Z70" s="2" t="inlineStr"/>
      <c r="AA70" s="2" t="inlineStr"/>
      <c r="AB70" s="2" t="inlineStr"/>
      <c r="AC70" s="2" t="inlineStr">
        <is>
          <t>No parent vehicle indicated at solicitation intake; verify clauses</t>
        </is>
      </c>
      <c r="AD70" s="2" t="inlineStr">
        <is>
          <t>Potentially yes — direct solicitation or combined notice</t>
        </is>
      </c>
      <c r="AE70" s="2" t="inlineStr">
        <is>
          <t>No evidence in metadata; verify solicitation</t>
        </is>
      </c>
      <c r="AF70" s="2" t="inlineStr">
        <is>
          <t>Potentially yes — subject to historical SAM registration and representations</t>
        </is>
      </c>
      <c r="AG70" s="2" t="inlineStr">
        <is>
          <t>Probable mandatory-source conflict</t>
        </is>
      </c>
      <c r="AH70" s="2" t="inlineStr">
        <is>
          <t>Exact product/NSN review required</t>
        </is>
      </c>
      <c r="AI70" s="2" t="inlineStr">
        <is>
          <t>Restricted NSN / approved-source / defense-platform risk</t>
        </is>
      </c>
      <c r="AJ70" s="2" t="inlineStr">
        <is>
          <t>Promising metadata; archive requirements review required</t>
        </is>
      </c>
      <c r="AK70" s="2" t="inlineStr">
        <is>
          <t>Unknown — never infer from award amount</t>
        </is>
      </c>
      <c r="AL70" s="2" t="inlineStr">
        <is>
          <t>Not modeled before archive and supplier-pricing gates</t>
        </is>
      </c>
      <c r="AM70" s="2" t="inlineStr">
        <is>
          <t>Unclassified pending requirements and sourcing</t>
        </is>
      </c>
      <c r="AN70" s="2" t="inlineStr">
        <is>
          <t>Not modeled before supplier pricing</t>
        </is>
      </c>
      <c r="AO70" s="2" t="inlineStr">
        <is>
          <t>0</t>
        </is>
      </c>
      <c r="AP70" s="2" t="inlineStr">
        <is>
          <t>0</t>
        </is>
      </c>
      <c r="AQ70" s="2" t="inlineStr">
        <is>
          <t>Strikeout</t>
        </is>
      </c>
      <c r="AR70" s="2" t="inlineStr">
        <is>
          <t>Gate 5 — mandatory source</t>
        </is>
      </c>
      <c r="AS70" s="2" t="inlineStr">
        <is>
          <t>NO-BID / CONTROL</t>
        </is>
      </c>
      <c r="AT70" s="2" t="inlineStr">
        <is>
          <t>Moderate — official extract metadata; direct archive review pending</t>
        </is>
      </c>
      <c r="AU70" s="2" t="inlineStr">
        <is>
          <t>Selection role: Target-lane candidate. Solicitation family contains 2 notice version(s): 66c9487b4b464d778f673061e6e81d3a; cb7a438b8379476dbdcb24a80cd47e3f. Representative notice chosen by detail score, not outcome. Historical award mapping did not control selection.</t>
        </is>
      </c>
      <c r="AV70" s="2" t="inlineStr">
        <is>
          <t>65860</t>
        </is>
      </c>
    </row>
    <row r="71">
      <c r="A71" s="2" t="inlineStr">
        <is>
          <t>HOS01-070</t>
        </is>
      </c>
      <c r="B71" s="2" t="inlineStr">
        <is>
          <t>65fb0f3fbfd24794837e563041900070</t>
        </is>
      </c>
      <c r="C71" s="2" t="inlineStr">
        <is>
          <t>N0010423QFB36</t>
        </is>
      </c>
      <c r="D71" s="2" t="inlineStr">
        <is>
          <t>https://sam.gov/workspace/contract/opp/65fb0f3fbfd24794837e563041900070/view</t>
        </is>
      </c>
      <c r="E71" s="2" t="inlineStr">
        <is>
          <t>Solicitation</t>
        </is>
      </c>
      <c r="F71" s="2" t="inlineStr">
        <is>
          <t>2023-03-14</t>
        </is>
      </c>
      <c r="G71" s="2" t="inlineStr">
        <is>
          <t>2023-04-10</t>
        </is>
      </c>
      <c r="H71" s="2" t="inlineStr">
        <is>
          <t>DEPT OF DEFENSE</t>
        </is>
      </c>
      <c r="I71" s="2" t="inlineStr">
        <is>
          <t>DEPT OF THE NAVY</t>
        </is>
      </c>
      <c r="J71" s="2" t="inlineStr">
        <is>
          <t>NAVSUP WEAPON SYSTEMS SUPPORT MECH</t>
        </is>
      </c>
      <c r="K71" s="2" t="inlineStr">
        <is>
          <t>59--PENETRATOR,HULL</t>
        </is>
      </c>
      <c r="L71" s="2" t="inlineStr">
        <is>
          <t>CONTACT INFORMATION|4|N743.45|WVS|717-605-3353|sylvia.sentz@navy.mil| ITEM UNIQUE IDENTIFICATION AND VALUATION (JAN 2023)|19|||||||||||||||||||| HIGHER-LEVEL CONTRACT QUALITY REQUIREMENT (NAVICP REVIEW FEB 1991)(FEB 1999)|1|See specification sections C and E| INSPECTION OF SUPPLIES--FIXED-PRICE (AUG 1996)|2||| INSPECTION AND ACCEPTANCE - SHORT VERSION|8|x||x|||||| TIME OF DELIVERY (JUNE 1997)|20|0001|4|365 days|||||||||||||||||| GENERAL INFORMATION-FOB-DESTINATION|1|B| WIDE AREA WORKFLOW PAYMENT INSTRUCTIONS (JAN 2023)|16|Stand-Alone Receiving Report - Certifications Combo-Receiving Report &amp; Invoice - Material|n/a|tbd|N00104|tbd|N39040 - Certifications, S4306A - Material|N50286|tbd|133.2|n/a|n/a|S4306A - Material|n/a|n/a|See DD1 423|PORT_PTNH_WAWF_NOTIFICATION@NAVY.MIL| NAVY USE OF ABILITYONE SUPPORT CONTRACTOR - RELEASE OF OFFEROR INFORMATION (3-18))|1|| EQUAL OPPORTUNITY (SEP 2016)|2||| WARRANTY OF SUPPLIES OF A NONCOMPLEX NATURE (JUNE 2003)|6|one year from date of delivery|one year from date of delivery||||| WARRANTY OF DATA--BASIC (MAR 2014)|2||| FIRST ARTICLE APPROVAL--GOVERNMENT TESTING (SEP 1989)|7|1|0001|180|tbd|60|x|| BUY AMERICAN --FREE TRADE AGREEMENTS--BALANCE OF PAYMENTS PROGRAM - BASIC (JAN2023))|3|||| ALTERNATE A, ANNUAL REPRESENTATIONS AND CERTIFICATIONS (NOV 2020)|13|||||||||||||| BUY AMERICAN-FREE TRADE AGREEMENTS-BALANCE OF PAYMENTS PROGRAM CERTIFICATE-BASIC (DEC 2022))|3|||| BUY AMERICAN-BALANCE OF PAYMENTS PROGRAM CERTIFICATE-BASIC (NOV 2014)|1|| ANNUAL REPRESENTATIONS AND CERTIFICATIONS (MAY 2022)|13|335931|500|||||||||||| NOTICE OF PRIORITY RATING FOR NATIONAL DEFENSE, EMERGENCY PERPARDENESS, AND ENRGY PROGAM USE (APRIL 2008))|2||x| 1. Data Item A001 (inspection and Test Plan) may be waived if already on fileat NAVSUP WSS Mech. 2. Drawings associa</t>
        </is>
      </c>
      <c r="M71" s="2" t="inlineStr">
        <is>
          <t>335931</t>
        </is>
      </c>
      <c r="N71" s="2" t="inlineStr">
        <is>
          <t>5935</t>
        </is>
      </c>
      <c r="O71" s="2" t="inlineStr"/>
      <c r="P71" s="2" t="inlineStr">
        <is>
          <t>Unknown pre-award; historical award retained only as answer key when mapped</t>
        </is>
      </c>
      <c r="Q71" s="2" t="inlineStr">
        <is>
          <t>Excluded or control category</t>
        </is>
      </c>
      <c r="R71" s="2" t="inlineStr">
        <is>
          <t>MRO tools and commercial hardware</t>
        </is>
      </c>
      <c r="S71" s="2" t="inlineStr"/>
      <c r="T71" s="2" t="inlineStr">
        <is>
          <t>Archive review required</t>
        </is>
      </c>
      <c r="U71" s="2" t="inlineStr">
        <is>
          <t>Direct notice/resource lookup required</t>
        </is>
      </c>
      <c r="V71" s="2" t="inlineStr">
        <is>
          <t>Yes — 2 notice version(s)</t>
        </is>
      </c>
      <c r="W71" s="2" t="inlineStr">
        <is>
          <t>Unknown — archive retrieval required</t>
        </is>
      </c>
      <c r="X71" s="2" t="inlineStr">
        <is>
          <t>Not yet recovered</t>
        </is>
      </c>
      <c r="Y71" s="2" t="inlineStr"/>
      <c r="Z71" s="2" t="inlineStr"/>
      <c r="AA71" s="2" t="inlineStr"/>
      <c r="AB71" s="2" t="inlineStr"/>
      <c r="AC71" s="2" t="inlineStr">
        <is>
          <t>No parent vehicle indicated at solicitation intake; verify clauses</t>
        </is>
      </c>
      <c r="AD71" s="2" t="inlineStr">
        <is>
          <t>Potentially yes — direct solicitation or combined notice</t>
        </is>
      </c>
      <c r="AE71" s="2" t="inlineStr">
        <is>
          <t>No evidence in metadata; verify solicitation</t>
        </is>
      </c>
      <c r="AF71" s="2" t="inlineStr">
        <is>
          <t>Potentially yes — subject to historical SAM registration and representations</t>
        </is>
      </c>
      <c r="AG71" s="2" t="inlineStr">
        <is>
          <t>Probable mandatory-source conflict</t>
        </is>
      </c>
      <c r="AH71" s="2" t="inlineStr">
        <is>
          <t>Exact product/NSN review required</t>
        </is>
      </c>
      <c r="AI71" s="2" t="inlineStr">
        <is>
          <t>Food / perishables</t>
        </is>
      </c>
      <c r="AJ71" s="2" t="inlineStr">
        <is>
          <t>Promising metadata; archive requirements review required</t>
        </is>
      </c>
      <c r="AK71" s="2" t="inlineStr">
        <is>
          <t>Unknown — never infer from award amount</t>
        </is>
      </c>
      <c r="AL71" s="2" t="inlineStr">
        <is>
          <t>Not modeled before archive and supplier-pricing gates</t>
        </is>
      </c>
      <c r="AM71" s="2" t="inlineStr">
        <is>
          <t>Unclassified pending requirements and sourcing</t>
        </is>
      </c>
      <c r="AN71" s="2" t="inlineStr">
        <is>
          <t>Not modeled before supplier pricing</t>
        </is>
      </c>
      <c r="AO71" s="2" t="inlineStr">
        <is>
          <t>0</t>
        </is>
      </c>
      <c r="AP71" s="2" t="inlineStr">
        <is>
          <t>0</t>
        </is>
      </c>
      <c r="AQ71" s="2" t="inlineStr">
        <is>
          <t>Strikeout</t>
        </is>
      </c>
      <c r="AR71" s="2" t="inlineStr">
        <is>
          <t>Gate 5 — mandatory source</t>
        </is>
      </c>
      <c r="AS71" s="2" t="inlineStr">
        <is>
          <t>NO-BID / CONTROL</t>
        </is>
      </c>
      <c r="AT71" s="2" t="inlineStr">
        <is>
          <t>Moderate — official extract metadata; direct archive review pending</t>
        </is>
      </c>
      <c r="AU71" s="2" t="inlineStr">
        <is>
          <t>Selection role: Target-lane candidate. Solicitation family contains 2 notice version(s): ab91268cf99b442fa981bb6642ce36cc; 65fb0f3fbfd24794837e563041900070. Representative notice chosen by detail score, not outcome. Historical award mapping did not control selection.</t>
        </is>
      </c>
      <c r="AV71" s="2" t="inlineStr">
        <is>
          <t>69532</t>
        </is>
      </c>
    </row>
    <row r="72">
      <c r="A72" s="2" t="inlineStr">
        <is>
          <t>HOS01-071</t>
        </is>
      </c>
      <c r="B72" s="2" t="inlineStr">
        <is>
          <t>32053ca75e0f45099bb96a8365c5d53e</t>
        </is>
      </c>
      <c r="C72" s="2" t="inlineStr">
        <is>
          <t>12024B23Q7003</t>
        </is>
      </c>
      <c r="D72" s="2" t="inlineStr">
        <is>
          <t>https://sam.gov/workspace/contract/opp/32053ca75e0f45099bb96a8365c5d53e/view</t>
        </is>
      </c>
      <c r="E72" s="2" t="inlineStr">
        <is>
          <t>Solicitation</t>
        </is>
      </c>
      <c r="F72" s="2" t="inlineStr">
        <is>
          <t>2023-03-08</t>
        </is>
      </c>
      <c r="G72" s="2" t="inlineStr">
        <is>
          <t>2024-02-21</t>
        </is>
      </c>
      <c r="H72" s="2" t="inlineStr">
        <is>
          <t>AGRICULTURE, DEPARTMENT OF</t>
        </is>
      </c>
      <c r="I72" s="2" t="inlineStr">
        <is>
          <t>FOREST SERVICE</t>
        </is>
      </c>
      <c r="J72" s="2" t="inlineStr">
        <is>
          <t>USDA FOREST SERVICE</t>
        </is>
      </c>
      <c r="K72" s="2" t="inlineStr">
        <is>
          <t>VIPR I-BPA for Mobile Laundry Unit for Region 13 - National</t>
        </is>
      </c>
      <c r="L72" s="2" t="inlineStr">
        <is>
          <t>Re-open Solicitation. Vendor responses to the solicitation are due 02/21/2024 17:00 Pacific. Please access the 'Open Solicitations' tab in the VIPR Vendor application (https://apps.fs.usda.gov/vipr/vendor/) to start your response. The Department of Agriculture (USDA), US Forest Service (USFS), National Zone (All Regions; 1, 2, 3, 4, 5, 6, 8, and 10) requirement for MOBILE LAUNDRY UNITS for use during Local, Regional, and nationwide fire suppression and all-hazard incidents was originally solicited under solicitation number 1202SB24Q7003.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t>
        </is>
      </c>
      <c r="M72" s="2" t="inlineStr">
        <is>
          <t>812320</t>
        </is>
      </c>
      <c r="N72" s="2" t="inlineStr">
        <is>
          <t>F003</t>
        </is>
      </c>
      <c r="O72" s="2" t="inlineStr">
        <is>
          <t>Total Small Business Set-Aside (FAR 19.5)</t>
        </is>
      </c>
      <c r="P72" s="2" t="inlineStr">
        <is>
          <t>Unknown pre-award; historical award retained only as answer key when mapped</t>
        </is>
      </c>
      <c r="Q72" s="2" t="inlineStr">
        <is>
          <t>Excluded or control category</t>
        </is>
      </c>
      <c r="R72" s="2" t="inlineStr">
        <is>
          <t>Office and facility consumables</t>
        </is>
      </c>
      <c r="S72" s="2" t="inlineStr"/>
      <c r="T72" s="2" t="inlineStr">
        <is>
          <t>Archive review required</t>
        </is>
      </c>
      <c r="U72" s="2" t="inlineStr">
        <is>
          <t>Direct notice/resource lookup required</t>
        </is>
      </c>
      <c r="V72" s="2" t="inlineStr">
        <is>
          <t>Yes — 5 notice version(s)</t>
        </is>
      </c>
      <c r="W72" s="2" t="inlineStr">
        <is>
          <t>Unknown — archive retrieval required</t>
        </is>
      </c>
      <c r="X72" s="2" t="inlineStr">
        <is>
          <t>Not yet recovered</t>
        </is>
      </c>
      <c r="Y72" s="2" t="inlineStr"/>
      <c r="Z72" s="2" t="inlineStr"/>
      <c r="AA72" s="2" t="inlineStr"/>
      <c r="AB72" s="2" t="inlineStr"/>
      <c r="AC72" s="2" t="inlineStr">
        <is>
          <t>No parent vehicle indicated at solicitation intake; verify clauses</t>
        </is>
      </c>
      <c r="AD72" s="2" t="inlineStr">
        <is>
          <t>Potentially yes — direct solicitation or combined notice</t>
        </is>
      </c>
      <c r="AE72" s="2" t="inlineStr">
        <is>
          <t>No evidence in metadata; verify solicitation</t>
        </is>
      </c>
      <c r="AF72" s="2" t="inlineStr">
        <is>
          <t>Potentially yes — subject to historical SAM registration and representations</t>
        </is>
      </c>
      <c r="AG72" s="2" t="inlineStr">
        <is>
          <t>No conflict detected in metadata; exact product review required</t>
        </is>
      </c>
      <c r="AH72" s="2" t="inlineStr">
        <is>
          <t>Exact product/NSN review required</t>
        </is>
      </c>
      <c r="AI72" s="2" t="inlineStr">
        <is>
          <t>Rental / lease</t>
        </is>
      </c>
      <c r="AJ72" s="2" t="inlineStr">
        <is>
          <t>Promising metadata; archive requirements review required</t>
        </is>
      </c>
      <c r="AK72" s="2" t="inlineStr">
        <is>
          <t>Unknown — never infer from award amount</t>
        </is>
      </c>
      <c r="AL72" s="2" t="inlineStr">
        <is>
          <t>Not modeled before archive and supplier-pricing gates</t>
        </is>
      </c>
      <c r="AM72" s="2" t="inlineStr">
        <is>
          <t>Unclassified pending requirements and sourcing</t>
        </is>
      </c>
      <c r="AN72" s="2" t="inlineStr">
        <is>
          <t>Not modeled before supplier pricing</t>
        </is>
      </c>
      <c r="AO72" s="2" t="inlineStr">
        <is>
          <t>90</t>
        </is>
      </c>
      <c r="AP72" s="2" t="inlineStr">
        <is>
          <t>0</t>
        </is>
      </c>
      <c r="AQ72" s="2" t="inlineStr">
        <is>
          <t>Strikeout</t>
        </is>
      </c>
      <c r="AR72" s="2" t="inlineStr">
        <is>
          <t>Gate 6 — product/service exclusion</t>
        </is>
      </c>
      <c r="AS72" s="2" t="inlineStr">
        <is>
          <t>NO-BID / CONTROL</t>
        </is>
      </c>
      <c r="AT72" s="2" t="inlineStr">
        <is>
          <t>Moderate — official extract metadata; direct archive review pending</t>
        </is>
      </c>
      <c r="AU72" s="2" t="inlineStr">
        <is>
          <t>Selection role: Target-lane candidate. Solicitation family contains 5 notice version(s): 1a5c337f887945cb842d0613cbb6925b; d123d77fa28c4bb9a36d9060e2b53446; 29fe22af650349b2b2a29600cd499a7e; 85d06774d72b4e54808ba4177dc0850e; 32053ca75e0f45099bb96a8365c5d53e. Representative notice chosen by detail score, not outcome. Historical award mapping did not control selection.</t>
        </is>
      </c>
      <c r="AV72" s="2" t="inlineStr">
        <is>
          <t>67454</t>
        </is>
      </c>
    </row>
    <row r="73">
      <c r="A73" s="2" t="inlineStr">
        <is>
          <t>HOS01-072</t>
        </is>
      </c>
      <c r="B73" s="2" t="inlineStr">
        <is>
          <t>cde9ef995c814e5a8c7a7287e4922427</t>
        </is>
      </c>
      <c r="C73" s="2" t="inlineStr">
        <is>
          <t>FA8212-23-R-0003</t>
        </is>
      </c>
      <c r="D73" s="2" t="inlineStr">
        <is>
          <t>https://sam.gov/workspace/contract/opp/cde9ef995c814e5a8c7a7287e4922427/view</t>
        </is>
      </c>
      <c r="E73" s="2" t="inlineStr">
        <is>
          <t>Solicitation</t>
        </is>
      </c>
      <c r="F73" s="2" t="inlineStr">
        <is>
          <t>2023-02-15</t>
        </is>
      </c>
      <c r="G73" s="2" t="inlineStr">
        <is>
          <t>2023-04-10</t>
        </is>
      </c>
      <c r="H73" s="2" t="inlineStr">
        <is>
          <t>DEPT OF DEFENSE</t>
        </is>
      </c>
      <c r="I73" s="2" t="inlineStr">
        <is>
          <t>DEPT OF THE AIR FORCE</t>
        </is>
      </c>
      <c r="J73" s="2" t="inlineStr">
        <is>
          <t>FA8212  AFSC OLH PZABA</t>
        </is>
      </c>
      <c r="K73" s="2" t="inlineStr">
        <is>
          <t>A-10 SPARES COVER, ACCESS, F52, PN 160D215001-37 (5 YR IDIQ)</t>
        </is>
      </c>
      <c r="L73" s="2" t="inlineStr">
        <is>
          <t>SEE ATTACHMENT AMENDMENT 0001: THE PURPOSE OF THE AMENDMENT IS TO CORRECT THE REQUIRED DELIVERY TIME CLIN 0001AB, PRODUCTION ARTICLE (1EA) AS DENOTED BELOW; 1. CLIN 0001AB, correct the required delivery time FROM: 210 Weeks TO: 210 Calendar Days ALL OTHER TERMS AND CONDITIONS REMAIN THE SAME.</t>
        </is>
      </c>
      <c r="M73" s="2" t="inlineStr">
        <is>
          <t>336413</t>
        </is>
      </c>
      <c r="N73" s="2" t="inlineStr">
        <is>
          <t>1560</t>
        </is>
      </c>
      <c r="O73" s="2" t="inlineStr">
        <is>
          <t>Women-Owned Small Business</t>
        </is>
      </c>
      <c r="P73" s="2" t="inlineStr">
        <is>
          <t>Unknown pre-award; historical award retained only as answer key when mapped</t>
        </is>
      </c>
      <c r="Q73" s="2" t="inlineStr">
        <is>
          <t>Product / commercial supply candidate</t>
        </is>
      </c>
      <c r="R73" s="2" t="inlineStr">
        <is>
          <t>Mixed controls</t>
        </is>
      </c>
      <c r="S73" s="2" t="inlineStr"/>
      <c r="T73" s="2" t="inlineStr">
        <is>
          <t>Archive review required</t>
        </is>
      </c>
      <c r="U73" s="2" t="inlineStr">
        <is>
          <t>Direct notice/resource lookup required</t>
        </is>
      </c>
      <c r="V73" s="2" t="inlineStr">
        <is>
          <t>Yes — 3 notice version(s)</t>
        </is>
      </c>
      <c r="W73" s="2" t="inlineStr">
        <is>
          <t>Unknown — archive retrieval required</t>
        </is>
      </c>
      <c r="X73" s="2" t="inlineStr">
        <is>
          <t>Not yet recovered</t>
        </is>
      </c>
      <c r="Y73" s="2" t="inlineStr"/>
      <c r="Z73" s="2" t="inlineStr"/>
      <c r="AA73" s="2" t="inlineStr"/>
      <c r="AB73" s="2" t="inlineStr"/>
      <c r="AC73" s="2" t="inlineStr">
        <is>
          <t>No parent vehicle indicated at solicitation intake; verify clauses</t>
        </is>
      </c>
      <c r="AD73" s="2" t="inlineStr">
        <is>
          <t>Potentially yes — direct solicitation or combined notice</t>
        </is>
      </c>
      <c r="AE73" s="2" t="inlineStr">
        <is>
          <t>No evidence in metadata; verify solicitation</t>
        </is>
      </c>
      <c r="AF73" s="2" t="inlineStr">
        <is>
          <t>No — socioeconomic set-aside not held by GGG</t>
        </is>
      </c>
      <c r="AG73" s="2" t="inlineStr">
        <is>
          <t>No conflict detected in metadata; exact product review required</t>
        </is>
      </c>
      <c r="AH73" s="2" t="inlineStr">
        <is>
          <t>Exact product/NSN review required</t>
        </is>
      </c>
      <c r="AI73" s="2" t="inlineStr">
        <is>
          <t>Pass / no automatic exclusion detected</t>
        </is>
      </c>
      <c r="AJ73" s="2" t="inlineStr">
        <is>
          <t>Promising metadata; archive requirements review required</t>
        </is>
      </c>
      <c r="AK73" s="2" t="inlineStr">
        <is>
          <t>Unknown — never infer from award amount</t>
        </is>
      </c>
      <c r="AL73" s="2" t="inlineStr">
        <is>
          <t>Not modeled before archive and supplier-pricing gates</t>
        </is>
      </c>
      <c r="AM73" s="2" t="inlineStr">
        <is>
          <t>Unclassified pending requirements and sourcing</t>
        </is>
      </c>
      <c r="AN73" s="2" t="inlineStr">
        <is>
          <t>Not modeled before supplier pricing</t>
        </is>
      </c>
      <c r="AO73" s="2" t="inlineStr">
        <is>
          <t>0</t>
        </is>
      </c>
      <c r="AP73" s="2" t="inlineStr">
        <is>
          <t>60</t>
        </is>
      </c>
      <c r="AQ73" s="2" t="inlineStr">
        <is>
          <t>Strikeout</t>
        </is>
      </c>
      <c r="AR73" s="2" t="inlineStr">
        <is>
          <t>Gate 4 — GGG eligibility</t>
        </is>
      </c>
      <c r="AS73" s="2" t="inlineStr">
        <is>
          <t>NO-BID / CONTROL</t>
        </is>
      </c>
      <c r="AT73" s="2" t="inlineStr">
        <is>
          <t>Moderate — official extract metadata; direct archive review pending</t>
        </is>
      </c>
      <c r="AU73" s="2" t="inlineStr">
        <is>
          <t>Selection role: Target-lane candidate. Solicitation family contains 3 notice version(s): cda72112df89486eb5207ddbae2484a7; cde9ef995c814e5a8c7a7287e4922427; 181eb8805ded4906a233852087240343. Representative notice chosen by detail score, not outcome. Historical award mapping did not control selection.</t>
        </is>
      </c>
      <c r="AV73" s="2" t="inlineStr">
        <is>
          <t>69526</t>
        </is>
      </c>
    </row>
    <row r="74">
      <c r="A74" s="2" t="inlineStr">
        <is>
          <t>HOS01-073</t>
        </is>
      </c>
      <c r="B74" s="2" t="inlineStr">
        <is>
          <t>631e759640594e37b64e3aba6e1af96b</t>
        </is>
      </c>
      <c r="C74" s="2" t="inlineStr">
        <is>
          <t>W912P622B0004</t>
        </is>
      </c>
      <c r="D74" s="2" t="inlineStr">
        <is>
          <t>https://sam.gov/workspace/contract/opp/631e759640594e37b64e3aba6e1af96b/view</t>
        </is>
      </c>
      <c r="E74" s="2" t="inlineStr">
        <is>
          <t>Solicitation</t>
        </is>
      </c>
      <c r="F74" s="2" t="inlineStr">
        <is>
          <t>2023-01-23</t>
        </is>
      </c>
      <c r="G74" s="2" t="inlineStr">
        <is>
          <t>2023-01-25</t>
        </is>
      </c>
      <c r="H74" s="2" t="inlineStr">
        <is>
          <t>DEPT OF DEFENSE</t>
        </is>
      </c>
      <c r="I74" s="2" t="inlineStr">
        <is>
          <t>DEPT OF THE ARMY</t>
        </is>
      </c>
      <c r="J74" s="2" t="inlineStr">
        <is>
          <t>W072 ENDIST CHICAGO</t>
        </is>
      </c>
      <c r="K74" s="2" t="inlineStr">
        <is>
          <t>GARY SANITARY DISTRICT 27TH &amp; CHASE STREET FORCE MAIN REPLACEMENT, PHASE 2 - SECTION 219, GARY, LAKE COUNTY, INDIANA (USACE ACQUISITION)</t>
        </is>
      </c>
      <c r="L74" s="2" t="inlineStr">
        <is>
          <t>EFFECTIVE JANUARY 25, 2023: The government has attached the Bid Opening Results (please refer to the "Attachments" Section of this Notice). ************************************************************************************************************************************************* VIRTUAL BID OPENING INFORMATION: THE VIRTUAL BID OPENING WILL BE CONDUCTED ON JANUARY 25, 2023 AT 2:00 P.M. (CENTRAL TIME). AT THE DESIGNATED DAY AND TIME, PLEASE JOIN BY: MEETING LINK: https://usace1.webex.com/usace1/j.php?MTID=m9a961ea0407de512cf3152daa6ec86e2 Meeting number (access code): 2760 118 0909 Meeting password: X58PwihTg@7 OR, JOIN BY PHONE: 1-844-800-2712 US Toll Free 1-669-234-1177 US Toll Access code: 2760 118 0909 Conf ID: press the # sign TIME OF SUBMISSION: Bids are required one hour prior the time specified on Page 1 of this Solicitation, Block #13a. Please note, FAR Subpart 14.302 Bid submission; �Bids shall be submitted so that they will be received in the office designated in the invitation for bids not later than the exact time set for opening of bids.� ***************************************************************************************************************************************************** Under this Solicitation Notice, the United States Army Corps of Engineers - Chicago District issues Solicitation No. W912P622B0004 for bidding purposes. Therefore, provided hereunder is the relevant bid package for the construction project entitled, "Gary Sanitary District 27th &amp; Chase Street Force Main Replacement, Phase 2 - Section 219, Gary, Lake County, Indiana (USACE Acquisition)." PROJECT INFORMATION: The project is within publicly-owned property from 25th Avenue to 18th Street. The current plan of the project includes the installation of 1,000-1,500 feet of 48-inc</t>
        </is>
      </c>
      <c r="M74" s="2" t="inlineStr">
        <is>
          <t>237110</t>
        </is>
      </c>
      <c r="N74" s="2" t="inlineStr">
        <is>
          <t>Y1ND</t>
        </is>
      </c>
      <c r="O74" s="2" t="inlineStr">
        <is>
          <t>Total Small Business Set-Aside (FAR 19.5)</t>
        </is>
      </c>
      <c r="P74" s="2" t="inlineStr">
        <is>
          <t>Unknown pre-award; historical award retained only as answer key when mapped</t>
        </is>
      </c>
      <c r="Q74" s="2" t="inlineStr">
        <is>
          <t>Excluded or control category</t>
        </is>
      </c>
      <c r="R74" s="2" t="inlineStr">
        <is>
          <t>MRO tools and commercial hardware</t>
        </is>
      </c>
      <c r="S74" s="2" t="inlineStr">
        <is>
          <t>Gary, IN, USA</t>
        </is>
      </c>
      <c r="T74" s="2" t="inlineStr">
        <is>
          <t>Gary, IN, USA</t>
        </is>
      </c>
      <c r="U74" s="2" t="inlineStr">
        <is>
          <t>Direct notice/resource lookup required</t>
        </is>
      </c>
      <c r="V74" s="2" t="inlineStr">
        <is>
          <t>Yes — 2 notice version(s)</t>
        </is>
      </c>
      <c r="W74" s="2" t="inlineStr">
        <is>
          <t>Unknown — archive retrieval required</t>
        </is>
      </c>
      <c r="X74" s="2" t="inlineStr">
        <is>
          <t>Not yet recovered</t>
        </is>
      </c>
      <c r="Y74" s="2" t="inlineStr"/>
      <c r="Z74" s="2" t="inlineStr"/>
      <c r="AA74" s="2" t="inlineStr"/>
      <c r="AB74" s="2" t="inlineStr"/>
      <c r="AC74" s="2" t="inlineStr">
        <is>
          <t>No parent vehicle indicated at solicitation intake; verify clauses</t>
        </is>
      </c>
      <c r="AD74" s="2" t="inlineStr">
        <is>
          <t>Potentially yes — direct solicitation or combined notice</t>
        </is>
      </c>
      <c r="AE74" s="2" t="inlineStr">
        <is>
          <t>No evidence in metadata; verify solicitation</t>
        </is>
      </c>
      <c r="AF74" s="2" t="inlineStr">
        <is>
          <t>Potentially yes — subject to historical SAM registration and representations</t>
        </is>
      </c>
      <c r="AG74" s="2" t="inlineStr">
        <is>
          <t>No conflict detected in metadata; exact product review required</t>
        </is>
      </c>
      <c r="AH74" s="2" t="inlineStr">
        <is>
          <t>Exact product/NSN review required</t>
        </is>
      </c>
      <c r="AI74" s="2" t="inlineStr">
        <is>
          <t>Construction / installation / repair / field service</t>
        </is>
      </c>
      <c r="AJ74" s="2" t="inlineStr">
        <is>
          <t>Promising metadata; archive requirements review required</t>
        </is>
      </c>
      <c r="AK74" s="2" t="inlineStr">
        <is>
          <t>Unknown — never infer from award amount</t>
        </is>
      </c>
      <c r="AL74" s="2" t="inlineStr">
        <is>
          <t>Not modeled before archive and supplier-pricing gates</t>
        </is>
      </c>
      <c r="AM74" s="2" t="inlineStr">
        <is>
          <t>Unclassified pending requirements and sourcing</t>
        </is>
      </c>
      <c r="AN74" s="2" t="inlineStr">
        <is>
          <t>Not modeled before supplier pricing</t>
        </is>
      </c>
      <c r="AO74" s="2" t="inlineStr">
        <is>
          <t>90</t>
        </is>
      </c>
      <c r="AP74" s="2" t="inlineStr">
        <is>
          <t>0</t>
        </is>
      </c>
      <c r="AQ74" s="2" t="inlineStr">
        <is>
          <t>Strikeout</t>
        </is>
      </c>
      <c r="AR74" s="2" t="inlineStr">
        <is>
          <t>Gate 6 — product/service exclusion</t>
        </is>
      </c>
      <c r="AS74" s="2" t="inlineStr">
        <is>
          <t>NO-BID / CONTROL</t>
        </is>
      </c>
      <c r="AT74" s="2" t="inlineStr">
        <is>
          <t>Moderate — official extract metadata; direct archive review pending</t>
        </is>
      </c>
      <c r="AU74" s="2" t="inlineStr">
        <is>
          <t>Selection role: Target-lane candidate. Solicitation family contains 2 notice version(s): b83c1afb106143c493f210bac9f40a96; 631e759640594e37b64e3aba6e1af96b. Representative notice chosen by detail score, not outcome. Historical award mapping did not control selection.</t>
        </is>
      </c>
      <c r="AV74" s="2" t="inlineStr">
        <is>
          <t>70077</t>
        </is>
      </c>
    </row>
    <row r="75">
      <c r="A75" s="2" t="inlineStr">
        <is>
          <t>HOS01-074</t>
        </is>
      </c>
      <c r="B75" s="2" t="inlineStr">
        <is>
          <t>a7a33c8a63d04e66856c5eac34c84f6d</t>
        </is>
      </c>
      <c r="C75" s="2" t="inlineStr">
        <is>
          <t>1202SB23Q7008</t>
        </is>
      </c>
      <c r="D75" s="2" t="inlineStr">
        <is>
          <t>https://sam.gov/workspace/contract/opp/a7a33c8a63d04e66856c5eac34c84f6d/view</t>
        </is>
      </c>
      <c r="E75" s="2" t="inlineStr">
        <is>
          <t>Solicitation</t>
        </is>
      </c>
      <c r="F75" s="2" t="inlineStr">
        <is>
          <t>2023-01-25</t>
        </is>
      </c>
      <c r="G75" s="2" t="inlineStr">
        <is>
          <t>2024-02-24</t>
        </is>
      </c>
      <c r="H75" s="2" t="inlineStr">
        <is>
          <t>AGRICULTURE, DEPARTMENT OF</t>
        </is>
      </c>
      <c r="I75" s="2" t="inlineStr">
        <is>
          <t>FOREST SERVICE</t>
        </is>
      </c>
      <c r="J75" s="2" t="inlineStr">
        <is>
          <t>USDA-FS PPS INCIDENT PROCUREMENT</t>
        </is>
      </c>
      <c r="K75" s="2" t="inlineStr">
        <is>
          <t>VIPR I-BPA for Fuel Tender for Region 3 ONLY</t>
        </is>
      </c>
      <c r="L75" s="2" t="inlineStr">
        <is>
          <t>Re-open Solicitation. Vendor responses to the solicitation are due 02/24/2024 17:00 MST. Please access the 'Open Solicitations' tab in the VIPR Vendor application (https://apps.fs.usda.gov/vipr/vendor/) to start your response. The Department of Agriculture (USDA), US Forest Service (USFS), ESB East Zone Region 3 requirement for Fuel Tenders for use during Local, Regional, and nationwide fire suppression and all-hazard incidents was originally solicited under solicitation number 1202SB23Q7008.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as a 100% Small</t>
        </is>
      </c>
      <c r="M75" s="2" t="inlineStr">
        <is>
          <t>324110</t>
        </is>
      </c>
      <c r="N75" s="2" t="inlineStr">
        <is>
          <t>F003</t>
        </is>
      </c>
      <c r="O75" s="2" t="inlineStr">
        <is>
          <t>Total Small Business Set-Aside (FAR 19.5)</t>
        </is>
      </c>
      <c r="P75" s="2" t="inlineStr">
        <is>
          <t>Unknown pre-award; historical award retained only as answer key when mapped</t>
        </is>
      </c>
      <c r="Q75" s="2" t="inlineStr">
        <is>
          <t>Excluded or control category</t>
        </is>
      </c>
      <c r="R75" s="2" t="inlineStr">
        <is>
          <t>Office and facility consumables</t>
        </is>
      </c>
      <c r="S75" s="2" t="inlineStr"/>
      <c r="T75" s="2" t="inlineStr">
        <is>
          <t>Archive review required</t>
        </is>
      </c>
      <c r="U75" s="2" t="inlineStr">
        <is>
          <t>Direct notice/resource lookup required</t>
        </is>
      </c>
      <c r="V75" s="2" t="inlineStr">
        <is>
          <t>Yes — 6 notice version(s)</t>
        </is>
      </c>
      <c r="W75" s="2" t="inlineStr">
        <is>
          <t>Unknown — archive retrieval required</t>
        </is>
      </c>
      <c r="X75" s="2" t="inlineStr">
        <is>
          <t>Not yet recovered</t>
        </is>
      </c>
      <c r="Y75" s="2" t="inlineStr"/>
      <c r="Z75" s="2" t="inlineStr"/>
      <c r="AA75" s="2" t="inlineStr"/>
      <c r="AB75" s="2" t="inlineStr"/>
      <c r="AC75" s="2" t="inlineStr">
        <is>
          <t>No parent vehicle indicated at solicitation intake; verify clauses</t>
        </is>
      </c>
      <c r="AD75" s="2" t="inlineStr">
        <is>
          <t>Potentially yes — direct solicitation or combined notice</t>
        </is>
      </c>
      <c r="AE75" s="2" t="inlineStr">
        <is>
          <t>No evidence in metadata; verify solicitation</t>
        </is>
      </c>
      <c r="AF75" s="2" t="inlineStr">
        <is>
          <t>Potentially yes — subject to historical SAM registration and representations</t>
        </is>
      </c>
      <c r="AG75" s="2" t="inlineStr">
        <is>
          <t>No conflict detected in metadata; exact product review required</t>
        </is>
      </c>
      <c r="AH75" s="2" t="inlineStr">
        <is>
          <t>Exact product/NSN review required</t>
        </is>
      </c>
      <c r="AI75" s="2" t="inlineStr">
        <is>
          <t>Fuel / petroleum</t>
        </is>
      </c>
      <c r="AJ75" s="2" t="inlineStr">
        <is>
          <t>Promising metadata; archive requirements review required</t>
        </is>
      </c>
      <c r="AK75" s="2" t="inlineStr">
        <is>
          <t>Unknown — never infer from award amount</t>
        </is>
      </c>
      <c r="AL75" s="2" t="inlineStr">
        <is>
          <t>Not modeled before archive and supplier-pricing gates</t>
        </is>
      </c>
      <c r="AM75" s="2" t="inlineStr">
        <is>
          <t>Unclassified pending requirements and sourcing</t>
        </is>
      </c>
      <c r="AN75" s="2" t="inlineStr">
        <is>
          <t>Not modeled before supplier pricing</t>
        </is>
      </c>
      <c r="AO75" s="2" t="inlineStr">
        <is>
          <t>90</t>
        </is>
      </c>
      <c r="AP75" s="2" t="inlineStr">
        <is>
          <t>0</t>
        </is>
      </c>
      <c r="AQ75" s="2" t="inlineStr">
        <is>
          <t>Strikeout</t>
        </is>
      </c>
      <c r="AR75" s="2" t="inlineStr">
        <is>
          <t>Gate 6 — product/service exclusion</t>
        </is>
      </c>
      <c r="AS75" s="2" t="inlineStr">
        <is>
          <t>NO-BID / CONTROL</t>
        </is>
      </c>
      <c r="AT75" s="2" t="inlineStr">
        <is>
          <t>Moderate — official extract metadata; direct archive review pending</t>
        </is>
      </c>
      <c r="AU75" s="2" t="inlineStr">
        <is>
          <t>Selection role: Target-lane candidate. Solicitation family contains 6 notice version(s): c01ac4a5b26241dcab8524e4585a0f5f; 81ea35230cdb44978f138d355540c70b; 5e6bc7b8545c4187b0346f69b265a04f; 22dc52d03ed041e09cd67193a34f3f16; fe45c39404834f70a87475fa23949527; a7a33c8a63d04e66856c5eac34c84f6d. Representative notice chosen by detail score, not outcome. Historical award mapping did not control selection.</t>
        </is>
      </c>
      <c r="AV75" s="2" t="inlineStr">
        <is>
          <t>67473</t>
        </is>
      </c>
    </row>
    <row r="76">
      <c r="A76" s="2" t="inlineStr">
        <is>
          <t>HOS01-075</t>
        </is>
      </c>
      <c r="B76" s="2" t="inlineStr">
        <is>
          <t>58889eef7ebc4fe6b17c062ad5fe32ec</t>
        </is>
      </c>
      <c r="C76" s="2" t="inlineStr">
        <is>
          <t>1202SB23Q7020</t>
        </is>
      </c>
      <c r="D76" s="2" t="inlineStr">
        <is>
          <t>https://sam.gov/workspace/contract/opp/58889eef7ebc4fe6b17c062ad5fe32ec/view</t>
        </is>
      </c>
      <c r="E76" s="2" t="inlineStr">
        <is>
          <t>Solicitation</t>
        </is>
      </c>
      <c r="F76" s="2" t="inlineStr">
        <is>
          <t>2023-03-01</t>
        </is>
      </c>
      <c r="G76" s="2" t="inlineStr">
        <is>
          <t>2024-03-04</t>
        </is>
      </c>
      <c r="H76" s="2" t="inlineStr">
        <is>
          <t>AGRICULTURE, DEPARTMENT OF</t>
        </is>
      </c>
      <c r="I76" s="2" t="inlineStr">
        <is>
          <t>FOREST SERVICE</t>
        </is>
      </c>
      <c r="J76" s="2" t="inlineStr">
        <is>
          <t>USDA-FS PPS INCIDENT PROCUREMENT</t>
        </is>
      </c>
      <c r="K76" s="2" t="inlineStr">
        <is>
          <t>VIPR I-BPA for Vehicle with Driver for Region 4 ONLY</t>
        </is>
      </c>
      <c r="L76" s="2" t="inlineStr">
        <is>
          <t>Re-open Solicitation. Vendor responses to the solicitation are due 03/04/2024 17:00 MST. Please access the 'Open Solicitations' tab in the VIPR Vendor application (https://apps.fs.usda.gov/vipr/vendor/) to start your response. The Department of Agriculture (USDA), US Forest Service (USFS), ESB East Zone (Region 4 ONLY) requirement for Vehicle with Driver for use during Local, Regional, and nationwide fire suppression and all-hazard incidents was originally solicited under solicitation number 1202SB23Q7020.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t>
        </is>
      </c>
      <c r="M76" s="2" t="inlineStr">
        <is>
          <t>485999</t>
        </is>
      </c>
      <c r="N76" s="2" t="inlineStr">
        <is>
          <t>F003</t>
        </is>
      </c>
      <c r="O76" s="2" t="inlineStr">
        <is>
          <t>Total Small Business Set-Aside (FAR 19.5)</t>
        </is>
      </c>
      <c r="P76" s="2" t="inlineStr">
        <is>
          <t>Unknown pre-award; historical award retained only as answer key when mapped</t>
        </is>
      </c>
      <c r="Q76" s="2" t="inlineStr">
        <is>
          <t>Excluded or control category</t>
        </is>
      </c>
      <c r="R76" s="2" t="inlineStr">
        <is>
          <t>Office and facility consumables</t>
        </is>
      </c>
      <c r="S76" s="2" t="inlineStr"/>
      <c r="T76" s="2" t="inlineStr">
        <is>
          <t>Archive review required</t>
        </is>
      </c>
      <c r="U76" s="2" t="inlineStr">
        <is>
          <t>Direct notice/resource lookup required</t>
        </is>
      </c>
      <c r="V76" s="2" t="inlineStr">
        <is>
          <t>Yes — 6 notice version(s)</t>
        </is>
      </c>
      <c r="W76" s="2" t="inlineStr">
        <is>
          <t>Unknown — archive retrieval required</t>
        </is>
      </c>
      <c r="X76" s="2" t="inlineStr">
        <is>
          <t>Not yet recovered</t>
        </is>
      </c>
      <c r="Y76" s="2" t="inlineStr"/>
      <c r="Z76" s="2" t="inlineStr"/>
      <c r="AA76" s="2" t="inlineStr"/>
      <c r="AB76" s="2" t="inlineStr"/>
      <c r="AC76" s="2" t="inlineStr">
        <is>
          <t>No parent vehicle indicated at solicitation intake; verify clauses</t>
        </is>
      </c>
      <c r="AD76" s="2" t="inlineStr">
        <is>
          <t>Potentially yes — direct solicitation or combined notice</t>
        </is>
      </c>
      <c r="AE76" s="2" t="inlineStr">
        <is>
          <t>No evidence in metadata; verify solicitation</t>
        </is>
      </c>
      <c r="AF76" s="2" t="inlineStr">
        <is>
          <t>Potentially yes — subject to historical SAM registration and representations</t>
        </is>
      </c>
      <c r="AG76" s="2" t="inlineStr">
        <is>
          <t>No conflict detected in metadata; exact product review required</t>
        </is>
      </c>
      <c r="AH76" s="2" t="inlineStr">
        <is>
          <t>Exact product/NSN review required</t>
        </is>
      </c>
      <c r="AI76" s="2" t="inlineStr">
        <is>
          <t>Rental / lease</t>
        </is>
      </c>
      <c r="AJ76" s="2" t="inlineStr">
        <is>
          <t>Promising metadata; archive requirements review required</t>
        </is>
      </c>
      <c r="AK76" s="2" t="inlineStr">
        <is>
          <t>Unknown — never infer from award amount</t>
        </is>
      </c>
      <c r="AL76" s="2" t="inlineStr">
        <is>
          <t>Not modeled before archive and supplier-pricing gates</t>
        </is>
      </c>
      <c r="AM76" s="2" t="inlineStr">
        <is>
          <t>Unclassified pending requirements and sourcing</t>
        </is>
      </c>
      <c r="AN76" s="2" t="inlineStr">
        <is>
          <t>Not modeled before supplier pricing</t>
        </is>
      </c>
      <c r="AO76" s="2" t="inlineStr">
        <is>
          <t>90</t>
        </is>
      </c>
      <c r="AP76" s="2" t="inlineStr">
        <is>
          <t>0</t>
        </is>
      </c>
      <c r="AQ76" s="2" t="inlineStr">
        <is>
          <t>Strikeout</t>
        </is>
      </c>
      <c r="AR76" s="2" t="inlineStr">
        <is>
          <t>Gate 6 — product/service exclusion</t>
        </is>
      </c>
      <c r="AS76" s="2" t="inlineStr">
        <is>
          <t>NO-BID / CONTROL</t>
        </is>
      </c>
      <c r="AT76" s="2" t="inlineStr">
        <is>
          <t>Moderate — official extract metadata; direct archive review pending</t>
        </is>
      </c>
      <c r="AU76" s="2" t="inlineStr">
        <is>
          <t>Selection role: Target-lane candidate. Solicitation family contains 6 notice version(s): 2db8287af0f345d796256b2e71f22d30; 90386e02edde4fdf899147cd6dd5d137; 831e6c722a794a6ca5f6754c1a127472; 9bf862dfe3ca49c99d9b88f47e3903b1; f12498ebb935415bbc0c0d2b7a62cec5; 58889eef7ebc4fe6b17c062ad5fe32ec. Representative notice chosen by detail score, not outcome. Historical award mapping did not control selection.</t>
        </is>
      </c>
      <c r="AV76" s="2" t="inlineStr">
        <is>
          <t>67491</t>
        </is>
      </c>
    </row>
    <row r="77">
      <c r="A77" s="2" t="inlineStr">
        <is>
          <t>HOS01-076</t>
        </is>
      </c>
      <c r="B77" s="2" t="inlineStr">
        <is>
          <t>40eba34d1590411983e7cbf33c9e6581</t>
        </is>
      </c>
      <c r="C77" s="2" t="inlineStr">
        <is>
          <t>47QMCA23R0076</t>
        </is>
      </c>
      <c r="D77" s="2" t="inlineStr">
        <is>
          <t>https://sam.gov/workspace/contract/opp/40eba34d1590411983e7cbf33c9e6581/view</t>
        </is>
      </c>
      <c r="E77" s="2" t="inlineStr">
        <is>
          <t>Combined Synopsis/Solicitation</t>
        </is>
      </c>
      <c r="F77" s="2" t="inlineStr">
        <is>
          <t>2023-07-27</t>
        </is>
      </c>
      <c r="G77" s="2" t="inlineStr">
        <is>
          <t>2024-09-30</t>
        </is>
      </c>
      <c r="H77" s="2" t="inlineStr">
        <is>
          <t>GENERAL SERVICES ADMINISTRATION</t>
        </is>
      </c>
      <c r="I77" s="2" t="inlineStr">
        <is>
          <t>FEDERAL ACQUISITION SERVICE</t>
        </is>
      </c>
      <c r="J77" s="2" t="inlineStr">
        <is>
          <t>GSA/FAS AUTOMOTIVE CENTER</t>
        </is>
      </c>
      <c r="K77" s="2" t="inlineStr">
        <is>
          <t>2024 Star of Life Ambulances</t>
        </is>
      </c>
      <c r="L77" s="2" t="inlineStr">
        <is>
          <t xml:space="preserve">SPECIAL NOTICE ON STATUS OF SOLICITATION (October 29, 2024): This solicitation remains open beyond the initial deadline for Standard Item 888E ONLY. Item 888E is an open line item that allows an offeror to propose any commercially-made motor vehicle incorporating emerging technology, for which there is an existing Federal Standard vehicle category and which conforms to all GSA standards and regulations that pertain to the Government�s motor vehicle requirements. Please see attached Special Notice for more information. --- OPEN SEASON FALL 2024 (update June 27, 2024): 1) GSA has added the following attachments in support of the Fall 2024 Open Season: Technical Exceptions Worksheet (TEW) Line Item Availability Template Joint Program Open Season Conference Slides Request for AutoBid Account Form 2) Existing contractors and new offerors may request any new vehicle models to be added to their AutoBid account for bidding during this Fall Open Season using the Google Form at https://forms.gle/aDmwuwa2k4CTT9uSA. 3) Should vendors or potential offerors wish to view the recording of the Joint Program Open Season Conference held on June 27, 2024, offerors may request a GSA Affiliated Customer Account (GACA). Visit the following website for instructions: https://insite.gsa.gov/system/files/insite/GACA__GSAAffiliatedCustomerAccounts_FEB_2023-v3.pdf (cut and paste address into your browser). Once approved, offerors may access the recording at the following link: https://drive.google.com/file/d/1KFttee2gg8uRsnc1m7onvgObRQglYSJa/view?usp=sharing (cut and paste address into your browser). --- OPEN SEASON FALL 2024 (June 12, 2024): Under solicitation 47QMCA23R0076, 2024 Star of Life Ambulance Program, GSA is announcing the FY24 Fall Open Season period for existing contractors to provide </t>
        </is>
      </c>
      <c r="M77" s="2" t="inlineStr">
        <is>
          <t>336211</t>
        </is>
      </c>
      <c r="N77" s="2" t="inlineStr">
        <is>
          <t>2310</t>
        </is>
      </c>
      <c r="O77" s="2" t="inlineStr"/>
      <c r="P77" s="2" t="inlineStr">
        <is>
          <t>Unknown pre-award; historical award retained only as answer key when mapped</t>
        </is>
      </c>
      <c r="Q77" s="2" t="inlineStr">
        <is>
          <t>Excluded or control category</t>
        </is>
      </c>
      <c r="R77" s="2" t="inlineStr">
        <is>
          <t>Office and facility consumables</t>
        </is>
      </c>
      <c r="S77" s="2" t="inlineStr">
        <is>
          <t>Washington, DC, 20405, USA</t>
        </is>
      </c>
      <c r="T77" s="2" t="inlineStr">
        <is>
          <t>Washington, DC, 20405, USA</t>
        </is>
      </c>
      <c r="U77" s="2" t="inlineStr">
        <is>
          <t>Direct notice/resource lookup required</t>
        </is>
      </c>
      <c r="V77" s="2" t="inlineStr">
        <is>
          <t>Yes — 18 notice version(s)</t>
        </is>
      </c>
      <c r="W77" s="2" t="inlineStr">
        <is>
          <t>Unknown — archive retrieval required</t>
        </is>
      </c>
      <c r="X77" s="2" t="inlineStr">
        <is>
          <t>Not yet recovered</t>
        </is>
      </c>
      <c r="Y77" s="2" t="inlineStr"/>
      <c r="Z77" s="2" t="inlineStr"/>
      <c r="AA77" s="2" t="inlineStr"/>
      <c r="AB77" s="2" t="inlineStr"/>
      <c r="AC77" s="2" t="inlineStr">
        <is>
          <t>No parent vehicle indicated at solicitation intake; verify clauses</t>
        </is>
      </c>
      <c r="AD77" s="2" t="inlineStr">
        <is>
          <t>Potentially yes — direct solicitation or combined notice</t>
        </is>
      </c>
      <c r="AE77" s="2" t="inlineStr">
        <is>
          <t>No evidence in metadata; verify solicitation</t>
        </is>
      </c>
      <c r="AF77" s="2" t="inlineStr">
        <is>
          <t>Potentially yes — subject to historical SAM registration and representations</t>
        </is>
      </c>
      <c r="AG77" s="2" t="inlineStr">
        <is>
          <t>Probable mandatory-source conflict</t>
        </is>
      </c>
      <c r="AH77" s="2" t="inlineStr">
        <is>
          <t>Exact product/NSN review required</t>
        </is>
      </c>
      <c r="AI77" s="2" t="inlineStr">
        <is>
          <t>Rental / lease</t>
        </is>
      </c>
      <c r="AJ77" s="2" t="inlineStr">
        <is>
          <t>Promising metadata; archive requirements review required</t>
        </is>
      </c>
      <c r="AK77" s="2" t="inlineStr">
        <is>
          <t>Unknown — never infer from award amount</t>
        </is>
      </c>
      <c r="AL77" s="2" t="inlineStr">
        <is>
          <t>Not modeled before archive and supplier-pricing gates</t>
        </is>
      </c>
      <c r="AM77" s="2" t="inlineStr">
        <is>
          <t>Unclassified pending requirements and sourcing</t>
        </is>
      </c>
      <c r="AN77" s="2" t="inlineStr">
        <is>
          <t>Not modeled before supplier pricing</t>
        </is>
      </c>
      <c r="AO77" s="2" t="inlineStr">
        <is>
          <t>0</t>
        </is>
      </c>
      <c r="AP77" s="2" t="inlineStr">
        <is>
          <t>0</t>
        </is>
      </c>
      <c r="AQ77" s="2" t="inlineStr">
        <is>
          <t>Strikeout</t>
        </is>
      </c>
      <c r="AR77" s="2" t="inlineStr">
        <is>
          <t>Gate 5 — mandatory source</t>
        </is>
      </c>
      <c r="AS77" s="2" t="inlineStr">
        <is>
          <t>NO-BID / CONTROL</t>
        </is>
      </c>
      <c r="AT77" s="2" t="inlineStr">
        <is>
          <t>Moderate — official extract metadata; direct archive review pending</t>
        </is>
      </c>
      <c r="AU77" s="2" t="inlineStr">
        <is>
          <t>Selection role: Target-lane candidate. Solicitation family contains 18 notice version(s): f0d76dd94a2c4850a5f2bd40cefa01c2; 7abd2a1fe63d4f8e808ce09fd454a382; b099a4aad1644b8d8964532fb0b1234a; 2a38a9e2304b472c9207e4f15433ec96; 90dcba2403e54512a19b6443594cd2d2; 09317f8856d14f4b892ad9ece8bcf4d9; 42b06c6c9096441b8268561e54bbfaba; 052ec845031c42d6a74f1506dbdbb100; 92d76021e8754fea8666e6339bdbcb88; ac26a4fb278d4ddd8e5c17c72c9dd49b; 103646b26e034b39ae101d37be1890ff; e7a164dfc9b5481fac7afdbeb0f927d1; e6491245e52d4038a5f6052e3524105d; f942bf5ba73a4bbd910dc60ff71ad03a; 86ca979381af45ec814b4131e3eaf2a3; bca994d769a24f63af4d2b6dbd60b175; 0ce419d503c34be18702a0488fde1796; 40eba34d1590411983e7cbf33c9e6581. Representative notice chosen by detail score, not outcome. Historical award mapping did not control selection.</t>
        </is>
      </c>
      <c r="AV77" s="2" t="inlineStr">
        <is>
          <t>64964</t>
        </is>
      </c>
    </row>
    <row r="78">
      <c r="A78" s="2" t="inlineStr">
        <is>
          <t>HOS01-077</t>
        </is>
      </c>
      <c r="B78" s="2" t="inlineStr">
        <is>
          <t>e57e259e885941ffa5a93c3603a47134</t>
        </is>
      </c>
      <c r="C78" s="2" t="inlineStr">
        <is>
          <t>47QMCA21R0008</t>
        </is>
      </c>
      <c r="D78" s="2" t="inlineStr">
        <is>
          <t>https://sam.gov/workspace/contract/opp/e57e259e885941ffa5a93c3603a47134/view</t>
        </is>
      </c>
      <c r="E78" s="2" t="inlineStr">
        <is>
          <t>Solicitation</t>
        </is>
      </c>
      <c r="F78" s="2" t="inlineStr">
        <is>
          <t>2023-02-01</t>
        </is>
      </c>
      <c r="G78" s="2" t="inlineStr">
        <is>
          <t>2021-09-16</t>
        </is>
      </c>
      <c r="H78" s="2" t="inlineStr">
        <is>
          <t>GENERAL SERVICES ADMINISTRATION</t>
        </is>
      </c>
      <c r="I78" s="2" t="inlineStr">
        <is>
          <t>FEDERAL ACQUISITION SERVICE</t>
        </is>
      </c>
      <c r="J78" s="2" t="inlineStr">
        <is>
          <t>GSA/FAS AUTOMOTIVE CENTER</t>
        </is>
      </c>
      <c r="K78" s="2" t="inlineStr">
        <is>
          <t>2022 Light Vehicles to include Sedans, Light Trucks, and SUVs</t>
        </is>
      </c>
      <c r="L78" s="2" t="inlineStr">
        <is>
          <t xml:space="preserve">SPECIAL NOTICE ON STATUS OF SOLICITATION (December 3, 2024): Solicitation 47QMCA21R0008 remains open beyond the initial deadline of September 16, 2021, for Standard Item 888E only. Item 888E is an open line item that allows an offeror to propose any commercially-made motor vehicle incorporating emerging technology, for which there is an existing Federal Standard vehicle category and which conforms to all GSA standards and regulations that pertain to the Government�s motor vehicle requirements. Please see attached Special Notice for more information. OPEN SEASON FALL 2024: NOTICE: The FY24 Fall Open Season period deadline has been extended to Friday, August 23, 2024. AutoBid will close at Noon Eastern on 8/23/2024, and all supplemental Open Season documentation is due on that date as well. This notice is updated to share the presentation slides from the Open Season Industry Day held on June 27, 2024, edited to include answers to questions asked during the Industry Day. Further, new model requests can be submitted via this Google Form, due no later than July 2, 2024: https://forms.gle/ax1UMR7Em4sv9Nrz5 (cut and paste address into your browser) To view a recording of the Open Season Industry Day, you must request a GSA Affiliated Customer Account (GACA); visit this site for instructions: https://insite.gsa.gov/system/files/insite/GACA__GSAAffiliatedCustomerAccounts_FEB_2023-v3.pdf (cut and paste address into your browser) Under solicitation 47QMCA21R0008, 2022 Light Vehicles to include Sedans, Light Trucks, &amp; SUVs, GSA is announcing the FY24 Fall Open Season period for existing contractors to provide new model year (NMY) information on awarded line items, as well as for existing contractors or new interested offerors to propose new models under the Light Vehicles Program. </t>
        </is>
      </c>
      <c r="M78" s="2" t="inlineStr">
        <is>
          <t>336110</t>
        </is>
      </c>
      <c r="N78" s="2" t="inlineStr">
        <is>
          <t>2310</t>
        </is>
      </c>
      <c r="O78" s="2" t="inlineStr"/>
      <c r="P78" s="2" t="inlineStr">
        <is>
          <t>Unknown pre-award; historical award retained only as answer key when mapped</t>
        </is>
      </c>
      <c r="Q78" s="2" t="inlineStr">
        <is>
          <t>Excluded or control category</t>
        </is>
      </c>
      <c r="R78" s="2" t="inlineStr">
        <is>
          <t>Office and facility consumables</t>
        </is>
      </c>
      <c r="S78" s="2" t="inlineStr">
        <is>
          <t>Washington, DC, 20405, USA</t>
        </is>
      </c>
      <c r="T78" s="2" t="inlineStr">
        <is>
          <t>Washington, DC, 20405, USA</t>
        </is>
      </c>
      <c r="U78" s="2" t="inlineStr">
        <is>
          <t>Direct notice/resource lookup required</t>
        </is>
      </c>
      <c r="V78" s="2" t="inlineStr">
        <is>
          <t>Yes — 17 notice version(s)</t>
        </is>
      </c>
      <c r="W78" s="2" t="inlineStr">
        <is>
          <t>Unknown — archive retrieval required</t>
        </is>
      </c>
      <c r="X78" s="2" t="inlineStr">
        <is>
          <t>Not yet recovered</t>
        </is>
      </c>
      <c r="Y78" s="2" t="inlineStr"/>
      <c r="Z78" s="2" t="inlineStr"/>
      <c r="AA78" s="2" t="inlineStr"/>
      <c r="AB78" s="2" t="inlineStr"/>
      <c r="AC78" s="2" t="inlineStr">
        <is>
          <t>No parent vehicle indicated at solicitation intake; verify clauses</t>
        </is>
      </c>
      <c r="AD78" s="2" t="inlineStr">
        <is>
          <t>Potentially yes — direct solicitation or combined notice</t>
        </is>
      </c>
      <c r="AE78" s="2" t="inlineStr">
        <is>
          <t>No evidence in metadata; verify solicitation</t>
        </is>
      </c>
      <c r="AF78" s="2" t="inlineStr">
        <is>
          <t>Potentially yes — subject to historical SAM registration and representations</t>
        </is>
      </c>
      <c r="AG78" s="2" t="inlineStr">
        <is>
          <t>No conflict detected in metadata; exact product review required</t>
        </is>
      </c>
      <c r="AH78" s="2" t="inlineStr">
        <is>
          <t>Exact product/NSN review required</t>
        </is>
      </c>
      <c r="AI78" s="2" t="inlineStr">
        <is>
          <t>Rental / lease</t>
        </is>
      </c>
      <c r="AJ78" s="2" t="inlineStr">
        <is>
          <t>Promising metadata; archive requirements review required</t>
        </is>
      </c>
      <c r="AK78" s="2" t="inlineStr">
        <is>
          <t>Unknown — never infer from award amount</t>
        </is>
      </c>
      <c r="AL78" s="2" t="inlineStr">
        <is>
          <t>Not modeled before archive and supplier-pricing gates</t>
        </is>
      </c>
      <c r="AM78" s="2" t="inlineStr">
        <is>
          <t>Unclassified pending requirements and sourcing</t>
        </is>
      </c>
      <c r="AN78" s="2" t="inlineStr">
        <is>
          <t>Not modeled before supplier pricing</t>
        </is>
      </c>
      <c r="AO78" s="2" t="inlineStr">
        <is>
          <t>90</t>
        </is>
      </c>
      <c r="AP78" s="2" t="inlineStr">
        <is>
          <t>0</t>
        </is>
      </c>
      <c r="AQ78" s="2" t="inlineStr">
        <is>
          <t>Strikeout</t>
        </is>
      </c>
      <c r="AR78" s="2" t="inlineStr">
        <is>
          <t>Gate 6 — product/service exclusion</t>
        </is>
      </c>
      <c r="AS78" s="2" t="inlineStr">
        <is>
          <t>NO-BID / CONTROL</t>
        </is>
      </c>
      <c r="AT78" s="2" t="inlineStr">
        <is>
          <t>Moderate — official extract metadata; direct archive review pending</t>
        </is>
      </c>
      <c r="AU78" s="2" t="inlineStr">
        <is>
          <t>Selection role: Target-lane candidate. Solicitation family contains 17 notice version(s): d79f6bd65c864a058f2912f50f3dfc2f; d9b9d707cc09459b856667363725c655; b3abdab5c09b493d983b23468e0aa045; 3c43850090e54043a5ffd7fb5562917c; 5e7805d37466478bba5b747df31eb4d4; 9c763a5e571242f49946c32098cc08e1; 58662cf936e041cfb7168a6398d1f72c; 0dfd9f63ed36450195be1c6dd341942e; f1e9491926da4b71863b3c8f9b32249a; 7a7f1a45a9964987a2a38cf0d56923b0; 555b468e3ea44c8f90006407d7486f41; 281cc977dcac4084bba4103acb5d30c8; d312489daf724a92bede98cc0b732303; f43c47f677dd4734ad2de601678ecf48; c92c15bcb4b540899526a689a8bfa367; 3a364ca28a0741c397b4eaabc3713319; e57e259e885941ffa5a93c3603a47134. Representative notice chosen by detail score, not outcome. Historical award mapping did not control selection.</t>
        </is>
      </c>
      <c r="AV78" s="2" t="inlineStr">
        <is>
          <t>64669</t>
        </is>
      </c>
    </row>
    <row r="79">
      <c r="A79" s="2" t="inlineStr">
        <is>
          <t>HOS01-078</t>
        </is>
      </c>
      <c r="B79" s="2" t="inlineStr">
        <is>
          <t>8b56947339614699a2c1f962cb70f742</t>
        </is>
      </c>
      <c r="C79" s="2" t="inlineStr">
        <is>
          <t>1202SB23Q7012</t>
        </is>
      </c>
      <c r="D79" s="2" t="inlineStr">
        <is>
          <t>https://sam.gov/workspace/contract/opp/8b56947339614699a2c1f962cb70f742/view</t>
        </is>
      </c>
      <c r="E79" s="2" t="inlineStr">
        <is>
          <t>Solicitation</t>
        </is>
      </c>
      <c r="F79" s="2" t="inlineStr">
        <is>
          <t>2023-01-23</t>
        </is>
      </c>
      <c r="G79" s="2" t="inlineStr">
        <is>
          <t>2024-02-23</t>
        </is>
      </c>
      <c r="H79" s="2" t="inlineStr">
        <is>
          <t>AGRICULTURE, DEPARTMENT OF</t>
        </is>
      </c>
      <c r="I79" s="2" t="inlineStr">
        <is>
          <t>FOREST SERVICE</t>
        </is>
      </c>
      <c r="J79" s="2" t="inlineStr">
        <is>
          <t>USDA-FS PPS INCIDENT PROCUREMENT</t>
        </is>
      </c>
      <c r="K79" s="2" t="inlineStr">
        <is>
          <t>VIPR I-BPA for Heavy Equipment for Regions 3 &amp; 8 ONLY</t>
        </is>
      </c>
      <c r="L79" s="2" t="inlineStr">
        <is>
          <t>Re-open Solicitation. Vendor responses to the solicitation are due 02/23/2024 17:00. Please access the 'Open Solicitations' tab in the VIPR Vendor application (https://apps.fs.usda.gov/vipr/vendor/) to start your response. The Department of Agriculture (USDA), US Forest Service (USFS), ESB East Zone (Regions 3, 8 requirement for Heavy Equipment for use during Local, Regional, and nationwide fire suppression and all-hazard incidents was originally solicited under solicitation number 1202SB23Q7012.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as a 100% S</t>
        </is>
      </c>
      <c r="M79" s="2" t="inlineStr">
        <is>
          <t>115310</t>
        </is>
      </c>
      <c r="N79" s="2" t="inlineStr">
        <is>
          <t>F003</t>
        </is>
      </c>
      <c r="O79" s="2" t="inlineStr">
        <is>
          <t>Total Small Business Set-Aside (FAR 19.5)</t>
        </is>
      </c>
      <c r="P79" s="2" t="inlineStr">
        <is>
          <t>Unknown pre-award; historical award retained only as answer key when mapped</t>
        </is>
      </c>
      <c r="Q79" s="2" t="inlineStr">
        <is>
          <t>Excluded or control category</t>
        </is>
      </c>
      <c r="R79" s="2" t="inlineStr">
        <is>
          <t>Office and facility consumables</t>
        </is>
      </c>
      <c r="S79" s="2" t="inlineStr"/>
      <c r="T79" s="2" t="inlineStr">
        <is>
          <t>Archive review required</t>
        </is>
      </c>
      <c r="U79" s="2" t="inlineStr">
        <is>
          <t>Direct notice/resource lookup required</t>
        </is>
      </c>
      <c r="V79" s="2" t="inlineStr">
        <is>
          <t>Yes — 6 notice version(s)</t>
        </is>
      </c>
      <c r="W79" s="2" t="inlineStr">
        <is>
          <t>Unknown — archive retrieval required</t>
        </is>
      </c>
      <c r="X79" s="2" t="inlineStr">
        <is>
          <t>Not yet recovered</t>
        </is>
      </c>
      <c r="Y79" s="2" t="inlineStr"/>
      <c r="Z79" s="2" t="inlineStr"/>
      <c r="AA79" s="2" t="inlineStr"/>
      <c r="AB79" s="2" t="inlineStr"/>
      <c r="AC79" s="2" t="inlineStr">
        <is>
          <t>No parent vehicle indicated at solicitation intake; verify clauses</t>
        </is>
      </c>
      <c r="AD79" s="2" t="inlineStr">
        <is>
          <t>Potentially yes — direct solicitation or combined notice</t>
        </is>
      </c>
      <c r="AE79" s="2" t="inlineStr">
        <is>
          <t>No evidence in metadata; verify solicitation</t>
        </is>
      </c>
      <c r="AF79" s="2" t="inlineStr">
        <is>
          <t>Potentially yes — subject to historical SAM registration and representations</t>
        </is>
      </c>
      <c r="AG79" s="2" t="inlineStr">
        <is>
          <t>No conflict detected in metadata; exact product review required</t>
        </is>
      </c>
      <c r="AH79" s="2" t="inlineStr">
        <is>
          <t>Exact product/NSN review required</t>
        </is>
      </c>
      <c r="AI79" s="2" t="inlineStr">
        <is>
          <t>Rental / lease</t>
        </is>
      </c>
      <c r="AJ79" s="2" t="inlineStr">
        <is>
          <t>Promising metadata; archive requirements review required</t>
        </is>
      </c>
      <c r="AK79" s="2" t="inlineStr">
        <is>
          <t>Unknown — never infer from award amount</t>
        </is>
      </c>
      <c r="AL79" s="2" t="inlineStr">
        <is>
          <t>Not modeled before archive and supplier-pricing gates</t>
        </is>
      </c>
      <c r="AM79" s="2" t="inlineStr">
        <is>
          <t>Unclassified pending requirements and sourcing</t>
        </is>
      </c>
      <c r="AN79" s="2" t="inlineStr">
        <is>
          <t>Not modeled before supplier pricing</t>
        </is>
      </c>
      <c r="AO79" s="2" t="inlineStr">
        <is>
          <t>90</t>
        </is>
      </c>
      <c r="AP79" s="2" t="inlineStr">
        <is>
          <t>0</t>
        </is>
      </c>
      <c r="AQ79" s="2" t="inlineStr">
        <is>
          <t>Strikeout</t>
        </is>
      </c>
      <c r="AR79" s="2" t="inlineStr">
        <is>
          <t>Gate 6 — product/service exclusion</t>
        </is>
      </c>
      <c r="AS79" s="2" t="inlineStr">
        <is>
          <t>NO-BID / CONTROL</t>
        </is>
      </c>
      <c r="AT79" s="2" t="inlineStr">
        <is>
          <t>Moderate — official extract metadata; direct archive review pending</t>
        </is>
      </c>
      <c r="AU79" s="2" t="inlineStr">
        <is>
          <t>Selection role: Target-lane candidate. Solicitation family contains 6 notice version(s): ab16680d6a2b4896b36f153acf9243b5; 8bc23fc8949d4223a2dbb5d8e42cdd4b; 6e38563863ae4db0a73f1c22ce612bd6; 4dbe98abf02542a7ae0b17b15bfdf43d; 840d6a834bdb496fbcbfb7fb54f43232; 8b56947339614699a2c1f962cb70f742. Representative notice chosen by detail score, not outcome. Historical award mapping did not control selection.</t>
        </is>
      </c>
      <c r="AV79" s="2" t="inlineStr">
        <is>
          <t>67488</t>
        </is>
      </c>
    </row>
    <row r="80">
      <c r="A80" s="2" t="inlineStr">
        <is>
          <t>HOS01-079</t>
        </is>
      </c>
      <c r="B80" s="2" t="inlineStr">
        <is>
          <t>3483d81c750445f0837192da2ef985be</t>
        </is>
      </c>
      <c r="C80" s="2" t="inlineStr">
        <is>
          <t>47QTCB22R0003</t>
        </is>
      </c>
      <c r="D80" s="2" t="inlineStr">
        <is>
          <t>https://sam.gov/workspace/contract/opp/3483d81c750445f0837192da2ef985be/view</t>
        </is>
      </c>
      <c r="E80" s="2" t="inlineStr">
        <is>
          <t>Solicitation</t>
        </is>
      </c>
      <c r="F80" s="2" t="inlineStr">
        <is>
          <t>2023-05-01</t>
        </is>
      </c>
      <c r="G80" s="2" t="inlineStr">
        <is>
          <t>2022-10-07</t>
        </is>
      </c>
      <c r="H80" s="2" t="inlineStr">
        <is>
          <t>GENERAL SERVICES ADMINISTRATION</t>
        </is>
      </c>
      <c r="I80" s="2" t="inlineStr">
        <is>
          <t>FEDERAL ACQUISITION SERVICE</t>
        </is>
      </c>
      <c r="J80" s="2" t="inlineStr">
        <is>
          <t>GSA/FAS ITC OFFICE OF ACQUISITION OPERATIONS, INTERAGENCY CONTRACTS</t>
        </is>
      </c>
      <c r="K80" s="2" t="inlineStr">
        <is>
          <t>Polaris GWAC Women Owned Small Business Pool</t>
        </is>
      </c>
      <c r="L80" s="2" t="inlineStr">
        <is>
          <t>November 25, 2024 - Amendment 0012 of the Polaris Women-Owned Small Business (WOSB) Pool has been posted in the Polaris Submission Portal (https://polaris.app.cloud.gov). This amendment is to incorporate an updated FAR provision. Offerors should login to the Polaris Submission Portal and review for necessary action. This amendment is only applicable to existing offerors with an active proposal that was submitted for the Polaris GWAC WOSB Pool by October 7, 2022. --- September 03, 2024 - GSA is completing the evaluation process of awards for the Polaris GWAC Women-Owned Small Business (WOSB) Pool. Contract awards for the WOSB Pool are now planned to be announced in FY25 with the HUBZone and SDVOSB Pools to follow later in FY25. Amendment 0011 of the Polaris WOSB Pool has been posted in the Polaris Submission Portal (https://polaris.app.cloud.gov). This amendment is to extend the offer acceptance period for existing offerors based on this updated award timeframe. Offerors should login to the Polaris Submission Portal and review for necessary action. This action is only applicable to existing offerors that submitted a timely proposal for the Polaris GWAC Women-Owned Small Business Pool by October 7, 2022, and previously extended their offer acceptance period through September 30, 2024. --- December 26, 2023 - GSA has issued Solicitation 47QTCB22R0003 Amendment 0010 and Question &amp; Response #6 of the Polaris Women Owned Small Business Pool in the Polaris Submission Portal (https://polaris.app.cloud.gov). Offerors are encouraged to review the information within the Polaris Submission Portal. The due date for response remains unchanged. Proposal revisions must be submitted within the PSP no later than 4:00 PM ET, January 12, 2024. This action is only applicable to existing off</t>
        </is>
      </c>
      <c r="M80" s="2" t="inlineStr">
        <is>
          <t>541512</t>
        </is>
      </c>
      <c r="N80" s="2" t="inlineStr">
        <is>
          <t>DA01</t>
        </is>
      </c>
      <c r="O80" s="2" t="inlineStr">
        <is>
          <t>Women-Owned Small Business</t>
        </is>
      </c>
      <c r="P80" s="2" t="inlineStr">
        <is>
          <t>Unknown pre-award; historical award retained only as answer key when mapped</t>
        </is>
      </c>
      <c r="Q80" s="2" t="inlineStr">
        <is>
          <t>Excluded or control category</t>
        </is>
      </c>
      <c r="R80" s="2" t="inlineStr">
        <is>
          <t>Office and facility consumables</t>
        </is>
      </c>
      <c r="S80" s="2" t="inlineStr"/>
      <c r="T80" s="2" t="inlineStr">
        <is>
          <t>Archive review required</t>
        </is>
      </c>
      <c r="U80" s="2" t="inlineStr">
        <is>
          <t>Direct notice/resource lookup required</t>
        </is>
      </c>
      <c r="V80" s="2" t="inlineStr">
        <is>
          <t>Yes — 11 notice version(s)</t>
        </is>
      </c>
      <c r="W80" s="2" t="inlineStr">
        <is>
          <t>Unknown — archive retrieval required</t>
        </is>
      </c>
      <c r="X80" s="2" t="inlineStr">
        <is>
          <t>Not yet recovered</t>
        </is>
      </c>
      <c r="Y80" s="2" t="inlineStr"/>
      <c r="Z80" s="2" t="inlineStr"/>
      <c r="AA80" s="2" t="inlineStr"/>
      <c r="AB80" s="2" t="inlineStr"/>
      <c r="AC80" s="2" t="inlineStr">
        <is>
          <t>No parent vehicle indicated at solicitation intake; verify clauses</t>
        </is>
      </c>
      <c r="AD80" s="2" t="inlineStr">
        <is>
          <t>Potentially yes — direct solicitation or combined notice</t>
        </is>
      </c>
      <c r="AE80" s="2" t="inlineStr">
        <is>
          <t>No evidence in metadata; verify solicitation</t>
        </is>
      </c>
      <c r="AF80" s="2" t="inlineStr">
        <is>
          <t>No — socioeconomic set-aside not held by GGG</t>
        </is>
      </c>
      <c r="AG80" s="2" t="inlineStr">
        <is>
          <t>No conflict detected in metadata; exact product review required</t>
        </is>
      </c>
      <c r="AH80" s="2" t="inlineStr">
        <is>
          <t>Exact product/NSN review required</t>
        </is>
      </c>
      <c r="AI80" s="2" t="inlineStr">
        <is>
          <t>Rental / lease</t>
        </is>
      </c>
      <c r="AJ80" s="2" t="inlineStr">
        <is>
          <t>Promising metadata; archive requirements review required</t>
        </is>
      </c>
      <c r="AK80" s="2" t="inlineStr">
        <is>
          <t>Unknown — never infer from award amount</t>
        </is>
      </c>
      <c r="AL80" s="2" t="inlineStr">
        <is>
          <t>Not modeled before archive and supplier-pricing gates</t>
        </is>
      </c>
      <c r="AM80" s="2" t="inlineStr">
        <is>
          <t>Unclassified pending requirements and sourcing</t>
        </is>
      </c>
      <c r="AN80" s="2" t="inlineStr">
        <is>
          <t>Not modeled before supplier pricing</t>
        </is>
      </c>
      <c r="AO80" s="2" t="inlineStr">
        <is>
          <t>0</t>
        </is>
      </c>
      <c r="AP80" s="2" t="inlineStr">
        <is>
          <t>0</t>
        </is>
      </c>
      <c r="AQ80" s="2" t="inlineStr">
        <is>
          <t>Strikeout</t>
        </is>
      </c>
      <c r="AR80" s="2" t="inlineStr">
        <is>
          <t>Gate 4 — GGG eligibility</t>
        </is>
      </c>
      <c r="AS80" s="2" t="inlineStr">
        <is>
          <t>NO-BID / CONTROL</t>
        </is>
      </c>
      <c r="AT80" s="2" t="inlineStr">
        <is>
          <t>Moderate — official extract metadata; direct archive review pending</t>
        </is>
      </c>
      <c r="AU80" s="2" t="inlineStr">
        <is>
          <t>Selection role: Target-lane candidate. Solicitation family contains 11 notice version(s): 814bc7981b53463e82b48d07447a5cd9; 2217324e272243b49a9b6c6ee0a45329; 73a134c21f99496bb4ad4f4bf51cad12; de6a763e99b042a78ee2c0491f8ab820; 990c4846c3ca48868d64d96a8dbbdb9d; 03b559a7535a4f7ab9bf5e82f3ba3c93; 6ad2d58876694c76b3b43825db386698; 5c73278dd948487b963c29fbd5d6806e; 3799b442b6264519a62cd95fe8bfabbe; 7ce74e6019aa4ed4b49ccbffd75d7c86; 3483d81c750445f0837192da2ef985be. Representative notice chosen by detail score, not outcome. Historical award mapping did not control selection.</t>
        </is>
      </c>
      <c r="AV80" s="2" t="inlineStr">
        <is>
          <t>64741</t>
        </is>
      </c>
    </row>
    <row r="81">
      <c r="A81" s="2" t="inlineStr">
        <is>
          <t>HOS01-080</t>
        </is>
      </c>
      <c r="B81" s="2" t="inlineStr">
        <is>
          <t>1bf34f327c8d47de87fc64a69d498486</t>
        </is>
      </c>
      <c r="C81" s="2" t="inlineStr">
        <is>
          <t>1202SB23Q7009</t>
        </is>
      </c>
      <c r="D81" s="2" t="inlineStr">
        <is>
          <t>https://sam.gov/workspace/contract/opp/1bf34f327c8d47de87fc64a69d498486/view</t>
        </is>
      </c>
      <c r="E81" s="2" t="inlineStr">
        <is>
          <t>Solicitation</t>
        </is>
      </c>
      <c r="F81" s="2" t="inlineStr">
        <is>
          <t>2023-01-23</t>
        </is>
      </c>
      <c r="G81" s="2" t="inlineStr">
        <is>
          <t>2024-02-23</t>
        </is>
      </c>
      <c r="H81" s="2" t="inlineStr">
        <is>
          <t>AGRICULTURE, DEPARTMENT OF</t>
        </is>
      </c>
      <c r="I81" s="2" t="inlineStr">
        <is>
          <t>FOREST SERVICE</t>
        </is>
      </c>
      <c r="J81" s="2" t="inlineStr">
        <is>
          <t>USDA-FS PPS INCIDENT PROCUREMENT</t>
        </is>
      </c>
      <c r="K81" s="2" t="inlineStr">
        <is>
          <t>VIPR I-BPA for Faller for Region 3 ONLY</t>
        </is>
      </c>
      <c r="L81" s="2" t="inlineStr">
        <is>
          <t>Re-open Solicitation. Vendor responses to the solicitation are due 02/23/2024 17:00. Please access the 'Open Solicitations' tab in the VIPR Vendor application (https://apps.fs.usda.gov/vipr/vendor/) to start your response. The Department of Agriculture (USDA), US Forest Service (USFS), ESB East Zone (Region 3 Only) requirement for Fallers for use during Local, Regional, and nationwide fire suppression and all-hazard incidents was originally solicited under solicitation number 1202SB23Q7009.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as a 100% Small B</t>
        </is>
      </c>
      <c r="M81" s="2" t="inlineStr">
        <is>
          <t>115310</t>
        </is>
      </c>
      <c r="N81" s="2" t="inlineStr">
        <is>
          <t>F003</t>
        </is>
      </c>
      <c r="O81" s="2" t="inlineStr">
        <is>
          <t>Total Small Business Set-Aside (FAR 19.5)</t>
        </is>
      </c>
      <c r="P81" s="2" t="inlineStr">
        <is>
          <t>Unknown pre-award; historical award retained only as answer key when mapped</t>
        </is>
      </c>
      <c r="Q81" s="2" t="inlineStr">
        <is>
          <t>Excluded or control category</t>
        </is>
      </c>
      <c r="R81" s="2" t="inlineStr">
        <is>
          <t>Office and facility consumables</t>
        </is>
      </c>
      <c r="S81" s="2" t="inlineStr"/>
      <c r="T81" s="2" t="inlineStr">
        <is>
          <t>Archive review required</t>
        </is>
      </c>
      <c r="U81" s="2" t="inlineStr">
        <is>
          <t>Direct notice/resource lookup required</t>
        </is>
      </c>
      <c r="V81" s="2" t="inlineStr">
        <is>
          <t>Yes — 7 notice version(s)</t>
        </is>
      </c>
      <c r="W81" s="2" t="inlineStr">
        <is>
          <t>Unknown — archive retrieval required</t>
        </is>
      </c>
      <c r="X81" s="2" t="inlineStr">
        <is>
          <t>Not yet recovered</t>
        </is>
      </c>
      <c r="Y81" s="2" t="inlineStr"/>
      <c r="Z81" s="2" t="inlineStr"/>
      <c r="AA81" s="2" t="inlineStr"/>
      <c r="AB81" s="2" t="inlineStr"/>
      <c r="AC81" s="2" t="inlineStr">
        <is>
          <t>No parent vehicle indicated at solicitation intake; verify clauses</t>
        </is>
      </c>
      <c r="AD81" s="2" t="inlineStr">
        <is>
          <t>Potentially yes — direct solicitation or combined notice</t>
        </is>
      </c>
      <c r="AE81" s="2" t="inlineStr">
        <is>
          <t>No evidence in metadata; verify solicitation</t>
        </is>
      </c>
      <c r="AF81" s="2" t="inlineStr">
        <is>
          <t>Potentially yes — subject to historical SAM registration and representations</t>
        </is>
      </c>
      <c r="AG81" s="2" t="inlineStr">
        <is>
          <t>No conflict detected in metadata; exact product review required</t>
        </is>
      </c>
      <c r="AH81" s="2" t="inlineStr">
        <is>
          <t>Exact product/NSN review required</t>
        </is>
      </c>
      <c r="AI81" s="2" t="inlineStr">
        <is>
          <t>Rental / lease</t>
        </is>
      </c>
      <c r="AJ81" s="2" t="inlineStr">
        <is>
          <t>Promising metadata; archive requirements review required</t>
        </is>
      </c>
      <c r="AK81" s="2" t="inlineStr">
        <is>
          <t>Unknown — never infer from award amount</t>
        </is>
      </c>
      <c r="AL81" s="2" t="inlineStr">
        <is>
          <t>Not modeled before archive and supplier-pricing gates</t>
        </is>
      </c>
      <c r="AM81" s="2" t="inlineStr">
        <is>
          <t>Unclassified pending requirements and sourcing</t>
        </is>
      </c>
      <c r="AN81" s="2" t="inlineStr">
        <is>
          <t>Not modeled before supplier pricing</t>
        </is>
      </c>
      <c r="AO81" s="2" t="inlineStr">
        <is>
          <t>90</t>
        </is>
      </c>
      <c r="AP81" s="2" t="inlineStr">
        <is>
          <t>0</t>
        </is>
      </c>
      <c r="AQ81" s="2" t="inlineStr">
        <is>
          <t>Strikeout</t>
        </is>
      </c>
      <c r="AR81" s="2" t="inlineStr">
        <is>
          <t>Gate 6 — product/service exclusion</t>
        </is>
      </c>
      <c r="AS81" s="2" t="inlineStr">
        <is>
          <t>NO-BID / CONTROL</t>
        </is>
      </c>
      <c r="AT81" s="2" t="inlineStr">
        <is>
          <t>Moderate — official extract metadata; direct archive review pending</t>
        </is>
      </c>
      <c r="AU81" s="2" t="inlineStr">
        <is>
          <t>Selection role: Target-lane candidate. Solicitation family contains 7 notice version(s): 729484cb6bb34b69b3c404657f9dea27; 502d1d49dd054a128ca1c7a691664a93; a5ff5d80b7a1450ea889f625f35098db; bd791e7369404c08854d773c5164359c; c7b8049ffbc6490ba251e6525c85a9c8; c4cd6adee60b45eeae5bc9332ed439c9; 1bf34f327c8d47de87fc64a69d498486. Representative notice chosen by detail score, not outcome. Historical award mapping did not control selection.</t>
        </is>
      </c>
      <c r="AV81" s="2" t="inlineStr">
        <is>
          <t>67453</t>
        </is>
      </c>
    </row>
    <row r="82">
      <c r="A82" s="2" t="inlineStr">
        <is>
          <t>HOS01-081</t>
        </is>
      </c>
      <c r="B82" s="2" t="inlineStr">
        <is>
          <t>352c7eb450ee419a8e9b48c9160609e5</t>
        </is>
      </c>
      <c r="C82" s="2" t="inlineStr">
        <is>
          <t>1202SC21Q2205</t>
        </is>
      </c>
      <c r="D82" s="2" t="inlineStr">
        <is>
          <t>https://sam.gov/workspace/contract/opp/352c7eb450ee419a8e9b48c9160609e5/view</t>
        </is>
      </c>
      <c r="E82" s="2" t="inlineStr">
        <is>
          <t>Solicitation</t>
        </is>
      </c>
      <c r="F82" s="2" t="inlineStr">
        <is>
          <t>2023-01-25</t>
        </is>
      </c>
      <c r="G82" s="2" t="inlineStr">
        <is>
          <t>2024-05-07</t>
        </is>
      </c>
      <c r="H82" s="2" t="inlineStr">
        <is>
          <t>AGRICULTURE, DEPARTMENT OF</t>
        </is>
      </c>
      <c r="I82" s="2" t="inlineStr">
        <is>
          <t>FOREST SERVICE</t>
        </is>
      </c>
      <c r="J82" s="2" t="inlineStr">
        <is>
          <t>USDA-FS, INCIDENT PROCUREMENT LOGISTICS</t>
        </is>
      </c>
      <c r="K82" s="2" t="inlineStr">
        <is>
          <t>Call When Needed Mobile Shower Facilities Units</t>
        </is>
      </c>
      <c r="L82" s="2" t="inlineStr">
        <is>
          <t>***The closing date and time of this solicitation remain 05/07/2024 at 9:00 AM MT / 8:00 AM PT*** *** Amendment 7 provides answers to questions received during E.9 Pre-Bid/Pre-Quote Conference.*** --------------------------- ***The closing date and time of this solicitation is updated to 05/07/2024 at ***The closing date and time of this solicitation remain 05/07/2024 at 9:00 AM MT / 8:00 AM PT*** *** Amendment 6 provides the answer to a question received � AND � provides the E.9 Pre-Bid/Pre-Quote Conference date/time and link.*** --------------------------- ***The closing date and time of this solicitation is updated to 05/07/2024 at 9:00 AM MT / 8:00 AM PT*** *** Amendment 5 implements the CWNMSU BPA 2024 Annual Review. Updated B.3.1 to add �Unisex� &amp; �Total� shower stall spaces, and �(# Sinks)� space and �(if applicable)� in reference the wash basin information as applicable (sinks might be part of unit and not separate trailer � a UIN would not be needed) � AND � included updated Terms &amp; Conditions and the latest DOL Wage Determination.*** --------------------------- ***Amendment 4 incorporates the new wage determination and updates terms &amp; conditions. See new attachments. The purpose of this Amendment is to conduct the annual review of previously established Blanket Purchase Agreements and to extend the solicitation allowing new companies to submit quotes. Amendments issued prior to amendment 4 are not required to be submitted. All questions and responses to this amendment must be sent to 2024_CW.awpzlweyduifb9pc@u.box.com *** --------------------------- ***Amendment 3 incorporates the new wage determination and removes the FAR Deviation incorporated in Amendment 2 closing date and time remains the same*** --------------------------- ***Amendment 2 incorporates FAR</t>
        </is>
      </c>
      <c r="M82" s="2" t="inlineStr">
        <is>
          <t>115310</t>
        </is>
      </c>
      <c r="N82" s="2" t="inlineStr">
        <is>
          <t>F003</t>
        </is>
      </c>
      <c r="O82" s="2" t="inlineStr"/>
      <c r="P82" s="2" t="inlineStr">
        <is>
          <t>Unknown pre-award; historical award retained only as answer key when mapped</t>
        </is>
      </c>
      <c r="Q82" s="2" t="inlineStr">
        <is>
          <t>Product / commercial supply candidate</t>
        </is>
      </c>
      <c r="R82" s="2" t="inlineStr">
        <is>
          <t>Mixed controls</t>
        </is>
      </c>
      <c r="S82" s="2" t="inlineStr">
        <is>
          <t>USA</t>
        </is>
      </c>
      <c r="T82" s="2" t="inlineStr">
        <is>
          <t>USA</t>
        </is>
      </c>
      <c r="U82" s="2" t="inlineStr">
        <is>
          <t>Direct notice/resource lookup required</t>
        </is>
      </c>
      <c r="V82" s="2" t="inlineStr">
        <is>
          <t>Yes — 5 notice version(s)</t>
        </is>
      </c>
      <c r="W82" s="2" t="inlineStr">
        <is>
          <t>Unknown — archive retrieval required</t>
        </is>
      </c>
      <c r="X82" s="2" t="inlineStr">
        <is>
          <t>Not yet recovered</t>
        </is>
      </c>
      <c r="Y82" s="2" t="inlineStr"/>
      <c r="Z82" s="2" t="inlineStr"/>
      <c r="AA82" s="2" t="inlineStr"/>
      <c r="AB82" s="2" t="inlineStr"/>
      <c r="AC82" s="2" t="inlineStr">
        <is>
          <t>No parent vehicle indicated at solicitation intake; verify clauses</t>
        </is>
      </c>
      <c r="AD82" s="2" t="inlineStr">
        <is>
          <t>Potentially yes — direct solicitation or combined notice</t>
        </is>
      </c>
      <c r="AE82" s="2" t="inlineStr">
        <is>
          <t>No evidence in metadata; verify solicitation</t>
        </is>
      </c>
      <c r="AF82" s="2" t="inlineStr">
        <is>
          <t>Potentially yes — subject to historical SAM registration and representations</t>
        </is>
      </c>
      <c r="AG82" s="2" t="inlineStr">
        <is>
          <t>No conflict detected in metadata; exact product review required</t>
        </is>
      </c>
      <c r="AH82" s="2" t="inlineStr">
        <is>
          <t>Exact product/NSN review required</t>
        </is>
      </c>
      <c r="AI82" s="2" t="inlineStr">
        <is>
          <t>Pass / no automatic exclusion detected</t>
        </is>
      </c>
      <c r="AJ82" s="2" t="inlineStr">
        <is>
          <t>Promising metadata; archive requirements review required</t>
        </is>
      </c>
      <c r="AK82" s="2" t="inlineStr">
        <is>
          <t>Unknown — never infer from award amount</t>
        </is>
      </c>
      <c r="AL82" s="2" t="inlineStr">
        <is>
          <t>Not modeled before archive and supplier-pricing gates</t>
        </is>
      </c>
      <c r="AM82" s="2" t="inlineStr">
        <is>
          <t>Unclassified pending requirements and sourcing</t>
        </is>
      </c>
      <c r="AN82" s="2" t="inlineStr">
        <is>
          <t>Not modeled before supplier pricing</t>
        </is>
      </c>
      <c r="AO82" s="2" t="inlineStr">
        <is>
          <t>90</t>
        </is>
      </c>
      <c r="AP82" s="2" t="inlineStr">
        <is>
          <t>60</t>
        </is>
      </c>
      <c r="AQ82" s="2" t="inlineStr">
        <is>
          <t>Double</t>
        </is>
      </c>
      <c r="AR82" s="2" t="inlineStr">
        <is>
          <t>Passes Gates 1-6 preliminarily; Gate 7 archive review pending</t>
        </is>
      </c>
      <c r="AS82" s="2" t="inlineStr">
        <is>
          <t>REVIEW — archive reconstruction</t>
        </is>
      </c>
      <c r="AT82" s="2" t="inlineStr">
        <is>
          <t>Moderate — official extract metadata; direct archive review pending</t>
        </is>
      </c>
      <c r="AU82" s="2" t="inlineStr">
        <is>
          <t>Selection role: Target-lane candidate. Solicitation family contains 5 notice version(s): 8b979aa43dec4061b0763eec93a2be5b; 2f74f5c692f4450dbd4fbc1dff4bcdea; 8c999d126af34d3ba2d1171286408b7b; 4717e8dcf18143f3a85bbbd88fdad9f6; 352c7eb450ee419a8e9b48c9160609e5. Representative notice chosen by detail score, not outcome. Historical award mapping did not control selection.</t>
        </is>
      </c>
      <c r="AV82" s="2" t="inlineStr">
        <is>
          <t>66672</t>
        </is>
      </c>
    </row>
    <row r="83">
      <c r="A83" s="2" t="inlineStr">
        <is>
          <t>HOS01-082</t>
        </is>
      </c>
      <c r="B83" s="2" t="inlineStr">
        <is>
          <t>d5b16332f18c4a7f9463d87f2bfd3c93</t>
        </is>
      </c>
      <c r="C83" s="2" t="inlineStr">
        <is>
          <t>QSE--36C78624Q50103</t>
        </is>
      </c>
      <c r="D83" s="2" t="inlineStr">
        <is>
          <t>https://sam.gov/workspace/contract/opp/d5b16332f18c4a7f9463d87f2bfd3c93/view</t>
        </is>
      </c>
      <c r="E83" s="2" t="inlineStr">
        <is>
          <t>Combined Synopsis/Solicitation</t>
        </is>
      </c>
      <c r="F83" s="2" t="inlineStr">
        <is>
          <t>2024-03-08</t>
        </is>
      </c>
      <c r="G83" s="2" t="inlineStr">
        <is>
          <t>2024-03-18</t>
        </is>
      </c>
      <c r="H83" s="2" t="inlineStr">
        <is>
          <t>VETERANS AFFAIRS, DEPARTMENT OF</t>
        </is>
      </c>
      <c r="I83" s="2" t="inlineStr">
        <is>
          <t>VETERANS AFFAIRS, DEPARTMENT OF</t>
        </is>
      </c>
      <c r="J83" s="2" t="inlineStr">
        <is>
          <t>NATIONAL CEMETERY ADMIN (36C786)</t>
        </is>
      </c>
      <c r="K83" s="2" t="inlineStr">
        <is>
          <t>The Contractor shall Furnish &amp; Deliver (F.O.B. Destination within Consignees Premises) RedMax 5lb spools, part No.: 588049609 located at Calverton National Cemetery, 210 Princeton Blvd, Calverton, NY -- 3710</t>
        </is>
      </c>
      <c r="L83" s="2" t="inlineStr">
        <is>
          <t>The Contractor shall Furnish &amp; Deliver (F.O.B. Destination within Consignees Premises) RedMax 5lb spools, part No.: 588049609 located at Calverton National Cemetery, 210 Princeton Blvd, Calverton, NY -- 3710 NEW CONTRACT FOR TRIMMER LINE BASE YEAR PLUS 4 OPTION YEARS AT CALVERTON NATONAL CEMETERY, IGCE, SOW, BNJ JUSTIFICATION, EVALUATION CRITERIA, CONTRACT SECURITY CHECKLIST, MARKET RESEARCH, &amp; COR CERTIFICATES - SUBJECT TO THE AVAILABILITY OF FY24 FUNDING The Contractor shall Furnish &amp; Deliver (F.O.B. Destination within Consignee�s Premises) RedMax� 5lb spools, part number 588049609 located at Calverton National Cemetery, 210 Princeton Blvd, Calverton NY.</t>
        </is>
      </c>
      <c r="M83" s="2" t="inlineStr">
        <is>
          <t>333112</t>
        </is>
      </c>
      <c r="N83" s="2" t="inlineStr">
        <is>
          <t>3710</t>
        </is>
      </c>
      <c r="O83" s="2" t="inlineStr">
        <is>
          <t>Total Small Business Set-Aside (FAR 19.5)</t>
        </is>
      </c>
      <c r="P83" s="2" t="inlineStr">
        <is>
          <t>Unknown pre-award; historical award retained only as answer key when mapped</t>
        </is>
      </c>
      <c r="Q83" s="2" t="inlineStr">
        <is>
          <t>Product / commercial supply candidate</t>
        </is>
      </c>
      <c r="R83" s="2" t="inlineStr">
        <is>
          <t>Mixed controls</t>
        </is>
      </c>
      <c r="S83" s="2" t="inlineStr">
        <is>
          <t>Calverton, NY, 11933, USA</t>
        </is>
      </c>
      <c r="T83" s="2" t="inlineStr">
        <is>
          <t>Calverton, NY, 11933, USA</t>
        </is>
      </c>
      <c r="U83" s="2" t="inlineStr">
        <is>
          <t>Direct notice/resource lookup required</t>
        </is>
      </c>
      <c r="V83" s="2" t="inlineStr">
        <is>
          <t>Yes — 2 notice version(s)</t>
        </is>
      </c>
      <c r="W83" s="2" t="inlineStr">
        <is>
          <t>Unknown — archive retrieval required</t>
        </is>
      </c>
      <c r="X83" s="2" t="inlineStr">
        <is>
          <t>Not yet recovered</t>
        </is>
      </c>
      <c r="Y83" s="2" t="inlineStr"/>
      <c r="Z83" s="2" t="inlineStr"/>
      <c r="AA83" s="2" t="inlineStr"/>
      <c r="AB83" s="2" t="inlineStr"/>
      <c r="AC83" s="2" t="inlineStr">
        <is>
          <t>No parent vehicle indicated at solicitation intake; verify clauses</t>
        </is>
      </c>
      <c r="AD83" s="2" t="inlineStr">
        <is>
          <t>Potentially yes — direct solicitation or combined notice</t>
        </is>
      </c>
      <c r="AE83" s="2" t="inlineStr">
        <is>
          <t>No evidence in metadata; verify solicitation</t>
        </is>
      </c>
      <c r="AF83" s="2" t="inlineStr">
        <is>
          <t>Potentially yes — subject to historical SAM registration and representations</t>
        </is>
      </c>
      <c r="AG83" s="2" t="inlineStr">
        <is>
          <t>No conflict detected in metadata; exact product review required</t>
        </is>
      </c>
      <c r="AH83" s="2" t="inlineStr">
        <is>
          <t>Exact product/NSN review required</t>
        </is>
      </c>
      <c r="AI83" s="2" t="inlineStr">
        <is>
          <t>Pass / no automatic exclusion detected</t>
        </is>
      </c>
      <c r="AJ83" s="2" t="inlineStr">
        <is>
          <t>Promising metadata; archive requirements review required</t>
        </is>
      </c>
      <c r="AK83" s="2" t="inlineStr">
        <is>
          <t>Unknown — never infer from award amount</t>
        </is>
      </c>
      <c r="AL83" s="2" t="inlineStr">
        <is>
          <t>Not modeled before archive and supplier-pricing gates</t>
        </is>
      </c>
      <c r="AM83" s="2" t="inlineStr">
        <is>
          <t>Unclassified pending requirements and sourcing</t>
        </is>
      </c>
      <c r="AN83" s="2" t="inlineStr">
        <is>
          <t>Not modeled before supplier pricing</t>
        </is>
      </c>
      <c r="AO83" s="2" t="inlineStr">
        <is>
          <t>90</t>
        </is>
      </c>
      <c r="AP83" s="2" t="inlineStr">
        <is>
          <t>60</t>
        </is>
      </c>
      <c r="AQ83" s="2" t="inlineStr">
        <is>
          <t>Double</t>
        </is>
      </c>
      <c r="AR83" s="2" t="inlineStr">
        <is>
          <t>Passes Gates 1-6 preliminarily; Gate 7 archive review pending</t>
        </is>
      </c>
      <c r="AS83" s="2" t="inlineStr">
        <is>
          <t>REVIEW — archive reconstruction</t>
        </is>
      </c>
      <c r="AT83" s="2" t="inlineStr">
        <is>
          <t>Moderate — official extract metadata; direct archive review pending</t>
        </is>
      </c>
      <c r="AU83" s="2" t="inlineStr">
        <is>
          <t>Selection role: Target-lane candidate. Solicitation family contains 2 notice version(s): d5b16332f18c4a7f9463d87f2bfd3c93; 18157dfacc3a4d04bf2d6d422c367712. Representative notice chosen by detail score, not outcome. Historical award mapping did not control selection.</t>
        </is>
      </c>
      <c r="AV83" s="2" t="inlineStr">
        <is>
          <t>67063</t>
        </is>
      </c>
    </row>
    <row r="84">
      <c r="A84" s="2" t="inlineStr">
        <is>
          <t>HOS01-083</t>
        </is>
      </c>
      <c r="B84" s="2" t="inlineStr">
        <is>
          <t>a3161b2d68ae438dba035c2c9f132e82</t>
        </is>
      </c>
      <c r="C84" s="2" t="inlineStr">
        <is>
          <t>SPE605-24-R-0204</t>
        </is>
      </c>
      <c r="D84" s="2" t="inlineStr">
        <is>
          <t>https://sam.gov/workspace/contract/opp/a3161b2d68ae438dba035c2c9f132e82/view</t>
        </is>
      </c>
      <c r="E84" s="2" t="inlineStr">
        <is>
          <t>Combined Synopsis/Solicitation</t>
        </is>
      </c>
      <c r="F84" s="2" t="inlineStr">
        <is>
          <t>2024-01-30</t>
        </is>
      </c>
      <c r="G84" s="2" t="inlineStr">
        <is>
          <t>2024-03-19</t>
        </is>
      </c>
      <c r="H84" s="2" t="inlineStr">
        <is>
          <t>DEPT OF DEFENSE</t>
        </is>
      </c>
      <c r="I84" s="2" t="inlineStr">
        <is>
          <t>DEFENSE LOGISTICS AGENCY</t>
        </is>
      </c>
      <c r="J84" s="2" t="inlineStr">
        <is>
          <t>DLA ENERGY</t>
        </is>
      </c>
      <c r="K84" s="2" t="inlineStr">
        <is>
          <t>See Amendment 4; SPE605-24-R-0204 DLA Energy Posts, Camps &amp; Stations (PC&amp;S) Japan PP 1.8G</t>
        </is>
      </c>
      <c r="L84" s="2" t="inlineStr">
        <is>
          <t>SEE AMENDMENT 0004_CLAUSE UPDATE_SEE SF30_0004 and New FINAL SOLICITATION DOCUMENT Amendment 0004 is issued to deleted M20 EVALUATION OF OFFERS SUBJECT TO THE UTILITY COST-SHARING AGREEMENT (DLA ENERGY JAN 2012), and add to DFARS 252.225-7966 Prohibition Regarding Russian Fossil Fuel Business Operations�Representation (Deviation 2024-O0006, Revision 1), and DFARS 252.225-7967 Prohibition Regarding Russian Fossil Fuel Business Operations (Deviation 2024- O0006, Revision 1) to Solicitation SPE60524R0204. SEE AMENDMENT 0003 - SCHEDULE UPDATED _ SEE SF30_0003 and Attachment A Schedule Dated March 12th, 2024 SEE AMENDMENT 0002 - CLOSING TIME EXTENDED UNTIL MARCH 19th, 2024 at 10PM EST This is a combined synopsis/solicitation for commercial items prepared in accordance with the format in Federal Acquisition Regulation (FAR) Subpart 12.6, as supplemented with additional information included in this notice. This announcement constitutes the only solicitation; proposals are being requested and a separate solicitation will not be issued. The Government intends to procure the petroleum fuel products using FAR Subpart 12.6, Streamlined Procedures for Evaluation and Solicitation for Commercial Items. The Government will award requirements-type contracts resulting from the Solicitation to the responsible offeror(s) whose offer, conforming to the Solicitation that will be most advantageous to the Government, with price and other factor considered (See Evaluation criteria under SECTION M). This is an open continuous solicitation with successive closing dates for DLA Energy Posts, Camps and Station (PC&amp;S) Purchase Program 1.8G Japan requirements. The first closing date is March 11, 2024, and is for the 178 Contract Line Items Numbers (CLINs) contained in this first closing. Solicitation</t>
        </is>
      </c>
      <c r="M84" s="2" t="inlineStr">
        <is>
          <t>324110</t>
        </is>
      </c>
      <c r="N84" s="2" t="inlineStr">
        <is>
          <t>9140</t>
        </is>
      </c>
      <c r="O84" s="2" t="inlineStr"/>
      <c r="P84" s="2" t="inlineStr">
        <is>
          <t>Unknown pre-award; historical award retained only as answer key when mapped</t>
        </is>
      </c>
      <c r="Q84" s="2" t="inlineStr">
        <is>
          <t>Excluded or control category</t>
        </is>
      </c>
      <c r="R84" s="2" t="inlineStr">
        <is>
          <t>Office and facility consumables</t>
        </is>
      </c>
      <c r="S84" s="2" t="inlineStr">
        <is>
          <t>JPN</t>
        </is>
      </c>
      <c r="T84" s="2" t="inlineStr">
        <is>
          <t>JPN</t>
        </is>
      </c>
      <c r="U84" s="2" t="inlineStr">
        <is>
          <t>Direct notice/resource lookup required</t>
        </is>
      </c>
      <c r="V84" s="2" t="inlineStr">
        <is>
          <t>Yes — 6 notice version(s)</t>
        </is>
      </c>
      <c r="W84" s="2" t="inlineStr">
        <is>
          <t>Unknown — archive retrieval required</t>
        </is>
      </c>
      <c r="X84" s="2" t="inlineStr">
        <is>
          <t>Not yet recovered</t>
        </is>
      </c>
      <c r="Y84" s="2" t="inlineStr"/>
      <c r="Z84" s="2" t="inlineStr"/>
      <c r="AA84" s="2" t="inlineStr"/>
      <c r="AB84" s="2" t="inlineStr"/>
      <c r="AC84" s="2" t="inlineStr">
        <is>
          <t>No parent vehicle indicated at solicitation intake; verify clauses</t>
        </is>
      </c>
      <c r="AD84" s="2" t="inlineStr">
        <is>
          <t>Potentially yes — direct solicitation or combined notice</t>
        </is>
      </c>
      <c r="AE84" s="2" t="inlineStr">
        <is>
          <t>No evidence in metadata; verify solicitation</t>
        </is>
      </c>
      <c r="AF84" s="2" t="inlineStr">
        <is>
          <t>Potentially yes — subject to historical SAM registration and representations</t>
        </is>
      </c>
      <c r="AG84" s="2" t="inlineStr">
        <is>
          <t>No conflict detected in metadata; exact product review required</t>
        </is>
      </c>
      <c r="AH84" s="2" t="inlineStr">
        <is>
          <t>Exact product/NSN review required</t>
        </is>
      </c>
      <c r="AI84" s="2" t="inlineStr">
        <is>
          <t>Fuel / petroleum</t>
        </is>
      </c>
      <c r="AJ84" s="2" t="inlineStr">
        <is>
          <t>Promising metadata; archive requirements review required</t>
        </is>
      </c>
      <c r="AK84" s="2" t="inlineStr">
        <is>
          <t>Unknown — never infer from award amount</t>
        </is>
      </c>
      <c r="AL84" s="2" t="inlineStr">
        <is>
          <t>Not modeled before archive and supplier-pricing gates</t>
        </is>
      </c>
      <c r="AM84" s="2" t="inlineStr">
        <is>
          <t>Unclassified pending requirements and sourcing</t>
        </is>
      </c>
      <c r="AN84" s="2" t="inlineStr">
        <is>
          <t>Not modeled before supplier pricing</t>
        </is>
      </c>
      <c r="AO84" s="2" t="inlineStr">
        <is>
          <t>90</t>
        </is>
      </c>
      <c r="AP84" s="2" t="inlineStr">
        <is>
          <t>0</t>
        </is>
      </c>
      <c r="AQ84" s="2" t="inlineStr">
        <is>
          <t>Strikeout</t>
        </is>
      </c>
      <c r="AR84" s="2" t="inlineStr">
        <is>
          <t>Gate 6 — product/service exclusion</t>
        </is>
      </c>
      <c r="AS84" s="2" t="inlineStr">
        <is>
          <t>NO-BID / CONTROL</t>
        </is>
      </c>
      <c r="AT84" s="2" t="inlineStr">
        <is>
          <t>Moderate — official extract metadata; direct archive review pending</t>
        </is>
      </c>
      <c r="AU84" s="2" t="inlineStr">
        <is>
          <t>Selection role: Target-lane candidate. Solicitation family contains 6 notice version(s): ee7e578a12654c749e3c12610d60ec05; 7bc062331e964ec48c9b3b294ea31326; da89883e7eda46c0858c145c3513f407; d353f312da904b2a89778036a396d56c; b9089eebd8f042bbb51389a474626572; a3161b2d68ae438dba035c2c9f132e82. Representative notice chosen by detail score, not outcome. Historical award mapping did not control selection.</t>
        </is>
      </c>
      <c r="AV84" s="2" t="inlineStr">
        <is>
          <t>66473</t>
        </is>
      </c>
    </row>
    <row r="85">
      <c r="A85" s="2" t="inlineStr">
        <is>
          <t>HOS01-084</t>
        </is>
      </c>
      <c r="B85" s="2" t="inlineStr">
        <is>
          <t>927576698b2f40859c71719f674cf54c</t>
        </is>
      </c>
      <c r="C85" s="2" t="inlineStr">
        <is>
          <t>9DC2702</t>
        </is>
      </c>
      <c r="D85" s="2" t="inlineStr">
        <is>
          <t>https://sam.gov/workspace/contract/opp/927576698b2f40859c71719f674cf54c/view</t>
        </is>
      </c>
      <c r="E85" s="2" t="inlineStr">
        <is>
          <t>Solicitation</t>
        </is>
      </c>
      <c r="F85" s="2" t="inlineStr">
        <is>
          <t>2023-11-08</t>
        </is>
      </c>
      <c r="G85" s="2" t="inlineStr">
        <is>
          <t>2023-12-05</t>
        </is>
      </c>
      <c r="H85" s="2" t="inlineStr">
        <is>
          <t>GENERAL SERVICES ADMINISTRATION</t>
        </is>
      </c>
      <c r="I85" s="2" t="inlineStr">
        <is>
          <t>PUBLIC BUILDINGS SERVICE</t>
        </is>
      </c>
      <c r="J85" s="2" t="inlineStr">
        <is>
          <t>PBS R00 CENTER FOR BROKER SERVICES</t>
        </is>
      </c>
      <c r="K85" s="2" t="inlineStr">
        <is>
          <t>U.S. Government Seeks to Lease Office and Related Space in Washington, DC</t>
        </is>
      </c>
      <c r="L85" s="2" t="inlineStr">
        <is>
          <t>General Services Administration (GSA) seeks to lease the following space: City/State: Washington, DC Delineated Area: Washington, DC Central Employment Area Minimum Sq. Ft. (ABOA SF): 341,879 Maximum Sq. Ft. (ABOA SF): 358,973 Maximum Sq. Ft. (RSF): 410,255 Space Type: Office and Related Space Parking Spaces (Total): 30 on-site, reserved, structured spaces Parking Spaces (Surface): N/A Parking Spaces (Structured): N/A Parking Spaces (Reserved): 30 reserved spaces for Official Government Vehicles, the cost of which is to be included in the rental consideration Firm Term: 15 Years Option Term: 5 Years Additional Requirements: See RLP Attachments The offered building must be within 2,640 walkable linear feet of a Metrorail station. The offered building must have the ability to accommodate ISC Level IV Security Requirements. The offered space must not be collocated with residential space. Offered space must be accommodated in no more than one (1) building. To qualify as one (1) building, offered space must be owned by a single owner and the structure(s) must be connected. Approximately 25,000 ABOA SF of the offered space must be on the first (ground) floor of the building. Approximately 1,250 ABOA SF of the offered space must be located adjacent to a loading dock. This space will be used as a mail screening room. Offered space must be contiguous, with the exception of the first/ground floor space and mail screening room referenced above. The offered space must provide a minimum ceiling height of 8�6� clear except on the first/ground floor which must provide a minimum of 10�0� clear. The Government may reserve the right to complete access control measures to secure the building�s parking garage. The Building must be able to accommodate, including adequate clearance, 30 passe</t>
        </is>
      </c>
      <c r="M85" s="2" t="inlineStr">
        <is>
          <t>531120</t>
        </is>
      </c>
      <c r="N85" s="2" t="inlineStr">
        <is>
          <t>X1AA</t>
        </is>
      </c>
      <c r="O85" s="2" t="inlineStr"/>
      <c r="P85" s="2" t="inlineStr">
        <is>
          <t>Unknown pre-award; historical award retained only as answer key when mapped</t>
        </is>
      </c>
      <c r="Q85" s="2" t="inlineStr">
        <is>
          <t>Excluded or control category</t>
        </is>
      </c>
      <c r="R85" s="2" t="inlineStr">
        <is>
          <t>Mixed controls</t>
        </is>
      </c>
      <c r="S85" s="2" t="inlineStr">
        <is>
          <t>Washington, DC, USA</t>
        </is>
      </c>
      <c r="T85" s="2" t="inlineStr">
        <is>
          <t>Washington, DC, USA</t>
        </is>
      </c>
      <c r="U85" s="2" t="inlineStr">
        <is>
          <t>Direct notice/resource lookup required</t>
        </is>
      </c>
      <c r="V85" s="2" t="inlineStr">
        <is>
          <t>Yes — 2 notice version(s)</t>
        </is>
      </c>
      <c r="W85" s="2" t="inlineStr">
        <is>
          <t>Unknown — archive retrieval required</t>
        </is>
      </c>
      <c r="X85" s="2" t="inlineStr">
        <is>
          <t>Not yet recovered</t>
        </is>
      </c>
      <c r="Y85" s="2" t="inlineStr"/>
      <c r="Z85" s="2" t="inlineStr"/>
      <c r="AA85" s="2" t="inlineStr"/>
      <c r="AB85" s="2" t="inlineStr"/>
      <c r="AC85" s="2" t="inlineStr">
        <is>
          <t>No parent vehicle indicated at solicitation intake; verify clauses</t>
        </is>
      </c>
      <c r="AD85" s="2" t="inlineStr">
        <is>
          <t>Potentially yes — direct solicitation or combined notice</t>
        </is>
      </c>
      <c r="AE85" s="2" t="inlineStr">
        <is>
          <t>No evidence in metadata; verify solicitation</t>
        </is>
      </c>
      <c r="AF85" s="2" t="inlineStr">
        <is>
          <t>Potentially yes — subject to historical SAM registration and representations</t>
        </is>
      </c>
      <c r="AG85" s="2" t="inlineStr">
        <is>
          <t>No conflict detected in metadata; exact product review required</t>
        </is>
      </c>
      <c r="AH85" s="2" t="inlineStr">
        <is>
          <t>Exact product/NSN review required</t>
        </is>
      </c>
      <c r="AI85" s="2" t="inlineStr">
        <is>
          <t>Rental / lease</t>
        </is>
      </c>
      <c r="AJ85" s="2" t="inlineStr">
        <is>
          <t>Promising metadata; archive requirements review required</t>
        </is>
      </c>
      <c r="AK85" s="2" t="inlineStr">
        <is>
          <t>Unknown — never infer from award amount</t>
        </is>
      </c>
      <c r="AL85" s="2" t="inlineStr">
        <is>
          <t>Not modeled before archive and supplier-pricing gates</t>
        </is>
      </c>
      <c r="AM85" s="2" t="inlineStr">
        <is>
          <t>Unclassified pending requirements and sourcing</t>
        </is>
      </c>
      <c r="AN85" s="2" t="inlineStr">
        <is>
          <t>Not modeled before supplier pricing</t>
        </is>
      </c>
      <c r="AO85" s="2" t="inlineStr">
        <is>
          <t>90</t>
        </is>
      </c>
      <c r="AP85" s="2" t="inlineStr">
        <is>
          <t>0</t>
        </is>
      </c>
      <c r="AQ85" s="2" t="inlineStr">
        <is>
          <t>Strikeout</t>
        </is>
      </c>
      <c r="AR85" s="2" t="inlineStr">
        <is>
          <t>Gate 6 — product/service exclusion</t>
        </is>
      </c>
      <c r="AS85" s="2" t="inlineStr">
        <is>
          <t>NO-BID / CONTROL</t>
        </is>
      </c>
      <c r="AT85" s="2" t="inlineStr">
        <is>
          <t>Moderate — official extract metadata; direct archive review pending</t>
        </is>
      </c>
      <c r="AU85" s="2" t="inlineStr">
        <is>
          <t>Selection role: Target-lane candidate. Solicitation family contains 2 notice version(s): f3b9b42ff4b64fbdbad9f7f215197171; 927576698b2f40859c71719f674cf54c. Representative notice chosen by detail score, not outcome. Historical award mapping did not control selection.</t>
        </is>
      </c>
      <c r="AV85" s="2" t="inlineStr">
        <is>
          <t>67643</t>
        </is>
      </c>
    </row>
    <row r="86">
      <c r="A86" s="2" t="inlineStr">
        <is>
          <t>HOS01-085</t>
        </is>
      </c>
      <c r="B86" s="2" t="inlineStr">
        <is>
          <t>80e6cd0e83ef4810a738492e9d29e9ad</t>
        </is>
      </c>
      <c r="C86" s="2" t="inlineStr">
        <is>
          <t>12569R23Q7002</t>
        </is>
      </c>
      <c r="D86" s="2" t="inlineStr">
        <is>
          <t>https://sam.gov/workspace/contract/opp/80e6cd0e83ef4810a738492e9d29e9ad/view</t>
        </is>
      </c>
      <c r="E86" s="2" t="inlineStr">
        <is>
          <t>Solicitation</t>
        </is>
      </c>
      <c r="F86" s="2" t="inlineStr">
        <is>
          <t>2023-03-01</t>
        </is>
      </c>
      <c r="G86" s="2" t="inlineStr">
        <is>
          <t>2024-02-23</t>
        </is>
      </c>
      <c r="H86" s="2" t="inlineStr">
        <is>
          <t>AGRICULTURE, DEPARTMENT OF</t>
        </is>
      </c>
      <c r="I86" s="2" t="inlineStr">
        <is>
          <t>FOREST SERVICE</t>
        </is>
      </c>
      <c r="J86" s="2" t="inlineStr">
        <is>
          <t>USDA-FS PPS INCIDENT PROCUREMENT</t>
        </is>
      </c>
      <c r="K86" s="2" t="inlineStr">
        <is>
          <t>VIPR I-BPA for Fallers for West Zone Regions 5 and 6</t>
        </is>
      </c>
      <c r="L86" s="2" t="inlineStr">
        <is>
          <t xml:space="preserve">Re-open Solicitation. Vendor responses to the solicitation are due 02/23/2024 17:00 PST. Please access the 'Open Solicitations' tab in the VIPR Vendor application (https://apps.fs.usda.gov/vipr/vendor/) to start your response. The Department of Agriculture (USDA), US Forest Service (USFS), ESB ESB West Zone (Regions 3, 5, 6 and 10) requirement for Faller Modules for use during Local, Regional, and nationwide fire suppression and all-hazard incidents was originally solicited under solicitation number 12569R23Q7002.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t>
        </is>
      </c>
      <c r="M86" s="2" t="inlineStr">
        <is>
          <t>115310</t>
        </is>
      </c>
      <c r="N86" s="2" t="inlineStr">
        <is>
          <t>F003</t>
        </is>
      </c>
      <c r="O86" s="2" t="inlineStr">
        <is>
          <t>Total Small Business Set-Aside (FAR 19.5)</t>
        </is>
      </c>
      <c r="P86" s="2" t="inlineStr">
        <is>
          <t>Unknown pre-award; historical award retained only as answer key when mapped</t>
        </is>
      </c>
      <c r="Q86" s="2" t="inlineStr">
        <is>
          <t>Excluded or control category</t>
        </is>
      </c>
      <c r="R86" s="2" t="inlineStr">
        <is>
          <t>Office and facility consumables</t>
        </is>
      </c>
      <c r="S86" s="2" t="inlineStr"/>
      <c r="T86" s="2" t="inlineStr">
        <is>
          <t>Archive review required</t>
        </is>
      </c>
      <c r="U86" s="2" t="inlineStr">
        <is>
          <t>Direct notice/resource lookup required</t>
        </is>
      </c>
      <c r="V86" s="2" t="inlineStr">
        <is>
          <t>Yes — 7 notice version(s)</t>
        </is>
      </c>
      <c r="W86" s="2" t="inlineStr">
        <is>
          <t>Unknown — archive retrieval required</t>
        </is>
      </c>
      <c r="X86" s="2" t="inlineStr">
        <is>
          <t>Not yet recovered</t>
        </is>
      </c>
      <c r="Y86" s="2" t="inlineStr"/>
      <c r="Z86" s="2" t="inlineStr"/>
      <c r="AA86" s="2" t="inlineStr"/>
      <c r="AB86" s="2" t="inlineStr"/>
      <c r="AC86" s="2" t="inlineStr">
        <is>
          <t>No parent vehicle indicated at solicitation intake; verify clauses</t>
        </is>
      </c>
      <c r="AD86" s="2" t="inlineStr">
        <is>
          <t>Potentially yes — direct solicitation or combined notice</t>
        </is>
      </c>
      <c r="AE86" s="2" t="inlineStr">
        <is>
          <t>No evidence in metadata; verify solicitation</t>
        </is>
      </c>
      <c r="AF86" s="2" t="inlineStr">
        <is>
          <t>Potentially yes — subject to historical SAM registration and representations</t>
        </is>
      </c>
      <c r="AG86" s="2" t="inlineStr">
        <is>
          <t>No conflict detected in metadata; exact product review required</t>
        </is>
      </c>
      <c r="AH86" s="2" t="inlineStr">
        <is>
          <t>Exact product/NSN review required</t>
        </is>
      </c>
      <c r="AI86" s="2" t="inlineStr">
        <is>
          <t>Rental / lease</t>
        </is>
      </c>
      <c r="AJ86" s="2" t="inlineStr">
        <is>
          <t>Promising metadata; archive requirements review required</t>
        </is>
      </c>
      <c r="AK86" s="2" t="inlineStr">
        <is>
          <t>Unknown — never infer from award amount</t>
        </is>
      </c>
      <c r="AL86" s="2" t="inlineStr">
        <is>
          <t>Not modeled before archive and supplier-pricing gates</t>
        </is>
      </c>
      <c r="AM86" s="2" t="inlineStr">
        <is>
          <t>Unclassified pending requirements and sourcing</t>
        </is>
      </c>
      <c r="AN86" s="2" t="inlineStr">
        <is>
          <t>Not modeled before supplier pricing</t>
        </is>
      </c>
      <c r="AO86" s="2" t="inlineStr">
        <is>
          <t>90</t>
        </is>
      </c>
      <c r="AP86" s="2" t="inlineStr">
        <is>
          <t>0</t>
        </is>
      </c>
      <c r="AQ86" s="2" t="inlineStr">
        <is>
          <t>Strikeout</t>
        </is>
      </c>
      <c r="AR86" s="2" t="inlineStr">
        <is>
          <t>Gate 6 — product/service exclusion</t>
        </is>
      </c>
      <c r="AS86" s="2" t="inlineStr">
        <is>
          <t>NO-BID / CONTROL</t>
        </is>
      </c>
      <c r="AT86" s="2" t="inlineStr">
        <is>
          <t>Moderate — official extract metadata; direct archive review pending</t>
        </is>
      </c>
      <c r="AU86" s="2" t="inlineStr">
        <is>
          <t>Selection role: Target-lane candidate. Solicitation family contains 7 notice version(s): 98ff905d6182446a8e4619648d5504c2; c269e6aef57d4d95a620b6ca48d24b28; c882874585f34795830a182df61c2fea; cf9ed5c8dfc947e3b8465d414bd8a10a; cf381d76a34644c3a63f0183f880ad29; 26badaee37214ceea87b41b6bc4aaf4b; 80e6cd0e83ef4810a738492e9d29e9ad. Representative notice chosen by detail score, not outcome. Historical award mapping did not control selection.</t>
        </is>
      </c>
      <c r="AV86" s="2" t="inlineStr">
        <is>
          <t>67455</t>
        </is>
      </c>
    </row>
    <row r="87">
      <c r="A87" s="2" t="inlineStr">
        <is>
          <t>HOS01-086</t>
        </is>
      </c>
      <c r="B87" s="2" t="inlineStr">
        <is>
          <t>79118ceb18a5408a81cf4fd44e14a15a</t>
        </is>
      </c>
      <c r="C87" s="2" t="inlineStr">
        <is>
          <t>19AQMM24Q0123</t>
        </is>
      </c>
      <c r="D87" s="2" t="inlineStr">
        <is>
          <t>https://sam.gov/workspace/contract/opp/79118ceb18a5408a81cf4fd44e14a15a/view</t>
        </is>
      </c>
      <c r="E87" s="2" t="inlineStr">
        <is>
          <t>Solicitation</t>
        </is>
      </c>
      <c r="F87" s="2" t="inlineStr">
        <is>
          <t>2024-07-22</t>
        </is>
      </c>
      <c r="G87" s="2" t="inlineStr">
        <is>
          <t>2024-08-29</t>
        </is>
      </c>
      <c r="H87" s="2" t="inlineStr">
        <is>
          <t>STATE, DEPARTMENT OF</t>
        </is>
      </c>
      <c r="I87" s="2" t="inlineStr">
        <is>
          <t>STATE, DEPARTMENT OF</t>
        </is>
      </c>
      <c r="J87" s="2" t="inlineStr">
        <is>
          <t>ACQUISITIONS - AQM MOMENTUM</t>
        </is>
      </c>
      <c r="K87" s="2" t="inlineStr">
        <is>
          <t>DOS-OVERSEAS SYSTEMS FURNITURE</t>
        </is>
      </c>
      <c r="L87" s="2" t="inlineStr">
        <is>
          <t>19AQMM24Q0123-US Department of State Please open and read all attachments. Questions due July 29, 2024. RFQ Submissions due August 19, 2024. Contracting Officer: Charlotte R. Cameron CameronCR@state.gov Charleston, SC Department of State Overseas Building Operations CONDENSED DESCRIPTION. READ ALL ATTACHMENTS INCLUDING SOW AND FULL SOLICITATION 19AQMM24Q0123 The Department of State, Bureau of Overseas Buildings Operations (OBO) has a requirement to provide systems furniture in diplomatic facilities worldwide. Department of State facilities are unique in their security requirements, infrastructure delivery and extended life cycle. 1.0 SCOPE The Contractor shall provide high quality, low maintenance systems furniture that can adapt, with minimal effort, as the facility evolves. Individual components and all assemblies shall break down for ease of inspection. Furniture shall have a modern appearance, with finish options at various grade levels. It shall include both panel based and freestanding furniture systems. Systems furniture shall utilize a spine wall for power and telecommunications distribution and include integrated lighting, storage, and technology support, as well as ergonomic and adjustable height features. All electrical and telecommunications components and infrastructure shall be integrated and flush with the spine wall and panels. CONTRACT The Department of State intends to award a Blanket Purchase Agreement (BPA) against a GSA schedule. The term of this contract will be one year with four one-year options to renew. MAXIMUM FOR BLANKET PURCHASE AGREEMENT This BPA is estimated but not guaranteed at $100M. Base + four (4) option years has a maximum ceiling of $100,000,000.00. WORKSTATIONS Must have the ability to provide both systems furniture, utilizing a fi</t>
        </is>
      </c>
      <c r="M87" s="2" t="inlineStr">
        <is>
          <t>337214</t>
        </is>
      </c>
      <c r="N87" s="2" t="inlineStr">
        <is>
          <t>7110</t>
        </is>
      </c>
      <c r="O87" s="2" t="inlineStr"/>
      <c r="P87" s="2" t="inlineStr">
        <is>
          <t>Unknown pre-award; historical award retained only as answer key when mapped</t>
        </is>
      </c>
      <c r="Q87" s="2" t="inlineStr">
        <is>
          <t>Excluded or control category</t>
        </is>
      </c>
      <c r="R87" s="2" t="inlineStr">
        <is>
          <t>Office and facility consumables</t>
        </is>
      </c>
      <c r="S87" s="2" t="inlineStr">
        <is>
          <t>USA</t>
        </is>
      </c>
      <c r="T87" s="2" t="inlineStr">
        <is>
          <t>USA</t>
        </is>
      </c>
      <c r="U87" s="2" t="inlineStr">
        <is>
          <t>Direct notice/resource lookup required</t>
        </is>
      </c>
      <c r="V87" s="2" t="inlineStr">
        <is>
          <t>Yes — 2 notice version(s)</t>
        </is>
      </c>
      <c r="W87" s="2" t="inlineStr">
        <is>
          <t>Unknown — archive retrieval required</t>
        </is>
      </c>
      <c r="X87" s="2" t="inlineStr">
        <is>
          <t>Not yet recovered</t>
        </is>
      </c>
      <c r="Y87" s="2" t="inlineStr"/>
      <c r="Z87" s="2" t="inlineStr"/>
      <c r="AA87" s="2" t="inlineStr"/>
      <c r="AB87" s="2" t="inlineStr"/>
      <c r="AC87" s="2" t="inlineStr">
        <is>
          <t>No parent vehicle indicated at solicitation intake; verify clauses</t>
        </is>
      </c>
      <c r="AD87" s="2" t="inlineStr">
        <is>
          <t>Potentially yes — direct solicitation or combined notice</t>
        </is>
      </c>
      <c r="AE87" s="2" t="inlineStr">
        <is>
          <t>No evidence in metadata; verify solicitation</t>
        </is>
      </c>
      <c r="AF87" s="2" t="inlineStr">
        <is>
          <t>Potentially yes — subject to historical SAM registration and representations</t>
        </is>
      </c>
      <c r="AG87" s="2" t="inlineStr">
        <is>
          <t>No conflict detected in metadata; exact product review required</t>
        </is>
      </c>
      <c r="AH87" s="2" t="inlineStr">
        <is>
          <t>Exact product/NSN review required</t>
        </is>
      </c>
      <c r="AI87" s="2" t="inlineStr">
        <is>
          <t>Food / perishables</t>
        </is>
      </c>
      <c r="AJ87" s="2" t="inlineStr">
        <is>
          <t>Promising metadata; archive requirements review required</t>
        </is>
      </c>
      <c r="AK87" s="2" t="inlineStr">
        <is>
          <t>Unknown — never infer from award amount</t>
        </is>
      </c>
      <c r="AL87" s="2" t="inlineStr">
        <is>
          <t>Not modeled before archive and supplier-pricing gates</t>
        </is>
      </c>
      <c r="AM87" s="2" t="inlineStr">
        <is>
          <t>Unclassified pending requirements and sourcing</t>
        </is>
      </c>
      <c r="AN87" s="2" t="inlineStr">
        <is>
          <t>Not modeled before supplier pricing</t>
        </is>
      </c>
      <c r="AO87" s="2" t="inlineStr">
        <is>
          <t>90</t>
        </is>
      </c>
      <c r="AP87" s="2" t="inlineStr">
        <is>
          <t>0</t>
        </is>
      </c>
      <c r="AQ87" s="2" t="inlineStr">
        <is>
          <t>Strikeout</t>
        </is>
      </c>
      <c r="AR87" s="2" t="inlineStr">
        <is>
          <t>Gate 6 — product/service exclusion</t>
        </is>
      </c>
      <c r="AS87" s="2" t="inlineStr">
        <is>
          <t>NO-BID / CONTROL</t>
        </is>
      </c>
      <c r="AT87" s="2" t="inlineStr">
        <is>
          <t>Moderate — official extract metadata; direct archive review pending</t>
        </is>
      </c>
      <c r="AU87" s="2" t="inlineStr">
        <is>
          <t>Selection role: Target-lane candidate. Solicitation family contains 2 notice version(s): 79118ceb18a5408a81cf4fd44e14a15a; 5bb22d95a3724b21b702f1d9031a4548. Representative notice chosen by detail score, not outcome. Historical award mapping did not control selection.</t>
        </is>
      </c>
      <c r="AV87" s="2" t="inlineStr">
        <is>
          <t>65913</t>
        </is>
      </c>
    </row>
    <row r="88">
      <c r="A88" s="2" t="inlineStr">
        <is>
          <t>HOS01-087</t>
        </is>
      </c>
      <c r="B88" s="2" t="inlineStr">
        <is>
          <t>0b832613872940adaba607b57c5a95a4</t>
        </is>
      </c>
      <c r="C88" s="2" t="inlineStr">
        <is>
          <t>FA9453-23-R-A004</t>
        </is>
      </c>
      <c r="D88" s="2" t="inlineStr">
        <is>
          <t>https://sam.gov/workspace/contract/opp/0b832613872940adaba607b57c5a95a4/view</t>
        </is>
      </c>
      <c r="E88" s="2" t="inlineStr">
        <is>
          <t>Solicitation</t>
        </is>
      </c>
      <c r="F88" s="2" t="inlineStr">
        <is>
          <t>2023-03-14</t>
        </is>
      </c>
      <c r="G88" s="2" t="inlineStr">
        <is>
          <t>2024-10-01</t>
        </is>
      </c>
      <c r="H88" s="2" t="inlineStr">
        <is>
          <t>DEPT OF DEFENSE</t>
        </is>
      </c>
      <c r="I88" s="2" t="inlineStr">
        <is>
          <t>DEPT OF THE AIR FORCE</t>
        </is>
      </c>
      <c r="J88" s="2" t="inlineStr">
        <is>
          <t>FA9453  AFRL RVK</t>
        </is>
      </c>
      <c r="K88" s="2" t="inlineStr">
        <is>
          <t>Neutron Strategic Technology Advanced Research (Neutron-STAR) Advanced Research Announcement (ARA)</t>
        </is>
      </c>
      <c r="L88" s="2" t="inlineStr">
        <is>
          <t>NAICS Code: The NAICS Code for this acquisition is 541715 for Research and Development in the Physical, Engineering, and Life Sciences (except Nanotechnology and Biotechnology). Federal Agency Name: Air Force Research Laboratory ARA Title: Neutron Strategic Technology Advanced Research (Neutron STAR) Advanced Research Announcement (ARA) ARA Type: This is an Open ARA; initial announcement SUBMISSION DATES ARE INDEFIINITE UNTIL FURTHER NOTICE PROGRAM SUMMARY: This is an Open ARA announcement pursuant to the authority of 10 U.S.C. �4023 Procurement for Experimental Purposes. AFRL is interested in receiving white papers regarding nuclear-related research and development, including, but not limited to modeling and simulation of re-entry environments, materials characterization, nuclear explosion monitoring, and design, fabrication and experimentation of nuclear delivery. Dialogue between prospective Offerors and Government representatives is strongly encouraged. This solicitation intends to use the acquisition authority provided by 10 U.S.C. �4023. This authority applies to the acquisition of items related to ��ordnance, signal, chemical activity, transportation, energy, medical, spaceflight, and aeronautical supplies, including parts and accessories, and designs thereof, that are necessary for experimental or test purposes in the development of the best supplies that are needed for the national defense.� Consequently, white papers and proposals should address how the proposed effort provides benefits to the national defense relative to the parameters of this authority, and a strategy for verifying those intended benefits. *Please see the attached Neutron Star Industry User Guide for guidance on definitions, processes, submission requirements and evaluation criteria.* BACKGR</t>
        </is>
      </c>
      <c r="M88" s="2" t="inlineStr">
        <is>
          <t>541715</t>
        </is>
      </c>
      <c r="N88" s="2" t="inlineStr">
        <is>
          <t>AC33</t>
        </is>
      </c>
      <c r="O88" s="2" t="inlineStr"/>
      <c r="P88" s="2" t="inlineStr">
        <is>
          <t>Unknown pre-award; historical award retained only as answer key when mapped</t>
        </is>
      </c>
      <c r="Q88" s="2" t="inlineStr">
        <is>
          <t>Excluded or control category</t>
        </is>
      </c>
      <c r="R88" s="2" t="inlineStr">
        <is>
          <t>Office and facility consumables</t>
        </is>
      </c>
      <c r="S88" s="2" t="inlineStr">
        <is>
          <t>USA</t>
        </is>
      </c>
      <c r="T88" s="2" t="inlineStr">
        <is>
          <t>USA</t>
        </is>
      </c>
      <c r="U88" s="2" t="inlineStr">
        <is>
          <t>Direct notice/resource lookup required</t>
        </is>
      </c>
      <c r="V88" s="2" t="inlineStr">
        <is>
          <t>Yes — 7 notice version(s)</t>
        </is>
      </c>
      <c r="W88" s="2" t="inlineStr">
        <is>
          <t>Unknown — archive retrieval required</t>
        </is>
      </c>
      <c r="X88" s="2" t="inlineStr">
        <is>
          <t>Not yet recovered</t>
        </is>
      </c>
      <c r="Y88" s="2" t="inlineStr"/>
      <c r="Z88" s="2" t="inlineStr"/>
      <c r="AA88" s="2" t="inlineStr"/>
      <c r="AB88" s="2" t="inlineStr"/>
      <c r="AC88" s="2" t="inlineStr">
        <is>
          <t>No parent vehicle indicated at solicitation intake; verify clauses</t>
        </is>
      </c>
      <c r="AD88" s="2" t="inlineStr">
        <is>
          <t>Potentially yes — direct solicitation or combined notice</t>
        </is>
      </c>
      <c r="AE88" s="2" t="inlineStr">
        <is>
          <t>No evidence in metadata; verify solicitation</t>
        </is>
      </c>
      <c r="AF88" s="2" t="inlineStr">
        <is>
          <t>Potentially yes — subject to historical SAM registration and representations</t>
        </is>
      </c>
      <c r="AG88" s="2" t="inlineStr">
        <is>
          <t>No conflict detected in metadata; exact product review required</t>
        </is>
      </c>
      <c r="AH88" s="2" t="inlineStr">
        <is>
          <t>Exact product/NSN review required</t>
        </is>
      </c>
      <c r="AI88" s="2" t="inlineStr">
        <is>
          <t>Rental / lease</t>
        </is>
      </c>
      <c r="AJ88" s="2" t="inlineStr">
        <is>
          <t>Promising metadata; archive requirements review required</t>
        </is>
      </c>
      <c r="AK88" s="2" t="inlineStr">
        <is>
          <t>Unknown — never infer from award amount</t>
        </is>
      </c>
      <c r="AL88" s="2" t="inlineStr">
        <is>
          <t>Not modeled before archive and supplier-pricing gates</t>
        </is>
      </c>
      <c r="AM88" s="2" t="inlineStr">
        <is>
          <t>Unclassified pending requirements and sourcing</t>
        </is>
      </c>
      <c r="AN88" s="2" t="inlineStr">
        <is>
          <t>Not modeled before supplier pricing</t>
        </is>
      </c>
      <c r="AO88" s="2" t="inlineStr">
        <is>
          <t>90</t>
        </is>
      </c>
      <c r="AP88" s="2" t="inlineStr">
        <is>
          <t>0</t>
        </is>
      </c>
      <c r="AQ88" s="2" t="inlineStr">
        <is>
          <t>Strikeout</t>
        </is>
      </c>
      <c r="AR88" s="2" t="inlineStr">
        <is>
          <t>Gate 6 — product/service exclusion</t>
        </is>
      </c>
      <c r="AS88" s="2" t="inlineStr">
        <is>
          <t>NO-BID / CONTROL</t>
        </is>
      </c>
      <c r="AT88" s="2" t="inlineStr">
        <is>
          <t>Moderate — official extract metadata; direct archive review pending</t>
        </is>
      </c>
      <c r="AU88" s="2" t="inlineStr">
        <is>
          <t>Selection role: Target-lane candidate. Solicitation family contains 7 notice version(s): 8df76be94a3e46f08057893415c5bc85; a8d15fd672a143fe872cd0852e349709; 896879a75d0d418e97af605f75b4b363; 90c2da6980c04fdcbe3ce22b48e51b1c; a3fcf103f2f04f519403251198ce1b84; bc82ed505415486d8a0ffb0672260911; 0b832613872940adaba607b57c5a95a4. Representative notice chosen by detail score, not outcome. Historical award mapping did not control selection.</t>
        </is>
      </c>
      <c r="AV88" s="2" t="inlineStr">
        <is>
          <t>66205</t>
        </is>
      </c>
    </row>
    <row r="89">
      <c r="A89" s="2" t="inlineStr">
        <is>
          <t>HOS01-088</t>
        </is>
      </c>
      <c r="B89" s="2" t="inlineStr">
        <is>
          <t>ff6211114e3c426491c937dcc0806538</t>
        </is>
      </c>
      <c r="C89" s="2" t="inlineStr">
        <is>
          <t>1202SB23Q7018</t>
        </is>
      </c>
      <c r="D89" s="2" t="inlineStr">
        <is>
          <t>https://sam.gov/workspace/contract/opp/ff6211114e3c426491c937dcc0806538/view</t>
        </is>
      </c>
      <c r="E89" s="2" t="inlineStr">
        <is>
          <t>Solicitation</t>
        </is>
      </c>
      <c r="F89" s="2" t="inlineStr">
        <is>
          <t>2023-03-01</t>
        </is>
      </c>
      <c r="G89" s="2" t="inlineStr">
        <is>
          <t>2024-02-29</t>
        </is>
      </c>
      <c r="H89" s="2" t="inlineStr">
        <is>
          <t>AGRICULTURE, DEPARTMENT OF</t>
        </is>
      </c>
      <c r="I89" s="2" t="inlineStr">
        <is>
          <t>FOREST SERVICE</t>
        </is>
      </c>
      <c r="J89" s="2" t="inlineStr">
        <is>
          <t>USDA-FS PPS INCIDENT PROCUREMENT</t>
        </is>
      </c>
      <c r="K89" s="2" t="inlineStr">
        <is>
          <t>VIPR I-BPA for Heavy Equipment for East Zone (Regions 1, 2, 4, and 9)</t>
        </is>
      </c>
      <c r="L89" s="2" t="inlineStr">
        <is>
          <t xml:space="preserve">Re-open Solicitation. Vendor responses to the solicitation are due 02/29/2024 19:00 EST. Please access the 'Open Solicitations' tab in the VIPR Vendor application (https://apps.fs.usda.gov/vipr/vendor/) to start your response. The Department of Agriculture (USDA), US Forest Service (USFS), East Zone (Regions 1, 2, 4, &amp; 9) requirement for Heavy Equipment to include dozers, excavators, and tractor plows (region 9 only) for use during Local, Regional, and nationwide fire suppression and all-hazard incidents was originally solicited under solicitation number 1202SB23Q7018.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t>
        </is>
      </c>
      <c r="M89" s="2" t="inlineStr">
        <is>
          <t>115310</t>
        </is>
      </c>
      <c r="N89" s="2" t="inlineStr">
        <is>
          <t>F003</t>
        </is>
      </c>
      <c r="O89" s="2" t="inlineStr">
        <is>
          <t>Total Small Business Set-Aside (FAR 19.5)</t>
        </is>
      </c>
      <c r="P89" s="2" t="inlineStr">
        <is>
          <t>Unknown pre-award; historical award retained only as answer key when mapped</t>
        </is>
      </c>
      <c r="Q89" s="2" t="inlineStr">
        <is>
          <t>Excluded or control category</t>
        </is>
      </c>
      <c r="R89" s="2" t="inlineStr">
        <is>
          <t>Office and facility consumables</t>
        </is>
      </c>
      <c r="S89" s="2" t="inlineStr"/>
      <c r="T89" s="2" t="inlineStr">
        <is>
          <t>Archive review required</t>
        </is>
      </c>
      <c r="U89" s="2" t="inlineStr">
        <is>
          <t>Direct notice/resource lookup required</t>
        </is>
      </c>
      <c r="V89" s="2" t="inlineStr">
        <is>
          <t>Yes — 8 notice version(s)</t>
        </is>
      </c>
      <c r="W89" s="2" t="inlineStr">
        <is>
          <t>Unknown — archive retrieval required</t>
        </is>
      </c>
      <c r="X89" s="2" t="inlineStr">
        <is>
          <t>Not yet recovered</t>
        </is>
      </c>
      <c r="Y89" s="2" t="inlineStr"/>
      <c r="Z89" s="2" t="inlineStr"/>
      <c r="AA89" s="2" t="inlineStr"/>
      <c r="AB89" s="2" t="inlineStr"/>
      <c r="AC89" s="2" t="inlineStr">
        <is>
          <t>No parent vehicle indicated at solicitation intake; verify clauses</t>
        </is>
      </c>
      <c r="AD89" s="2" t="inlineStr">
        <is>
          <t>Potentially yes — direct solicitation or combined notice</t>
        </is>
      </c>
      <c r="AE89" s="2" t="inlineStr">
        <is>
          <t>No evidence in metadata; verify solicitation</t>
        </is>
      </c>
      <c r="AF89" s="2" t="inlineStr">
        <is>
          <t>Potentially yes — subject to historical SAM registration and representations</t>
        </is>
      </c>
      <c r="AG89" s="2" t="inlineStr">
        <is>
          <t>No conflict detected in metadata; exact product review required</t>
        </is>
      </c>
      <c r="AH89" s="2" t="inlineStr">
        <is>
          <t>Exact product/NSN review required</t>
        </is>
      </c>
      <c r="AI89" s="2" t="inlineStr">
        <is>
          <t>Rental / lease</t>
        </is>
      </c>
      <c r="AJ89" s="2" t="inlineStr">
        <is>
          <t>Promising metadata; archive requirements review required</t>
        </is>
      </c>
      <c r="AK89" s="2" t="inlineStr">
        <is>
          <t>Unknown — never infer from award amount</t>
        </is>
      </c>
      <c r="AL89" s="2" t="inlineStr">
        <is>
          <t>Not modeled before archive and supplier-pricing gates</t>
        </is>
      </c>
      <c r="AM89" s="2" t="inlineStr">
        <is>
          <t>Unclassified pending requirements and sourcing</t>
        </is>
      </c>
      <c r="AN89" s="2" t="inlineStr">
        <is>
          <t>Not modeled before supplier pricing</t>
        </is>
      </c>
      <c r="AO89" s="2" t="inlineStr">
        <is>
          <t>90</t>
        </is>
      </c>
      <c r="AP89" s="2" t="inlineStr">
        <is>
          <t>0</t>
        </is>
      </c>
      <c r="AQ89" s="2" t="inlineStr">
        <is>
          <t>Strikeout</t>
        </is>
      </c>
      <c r="AR89" s="2" t="inlineStr">
        <is>
          <t>Gate 6 — product/service exclusion</t>
        </is>
      </c>
      <c r="AS89" s="2" t="inlineStr">
        <is>
          <t>NO-BID / CONTROL</t>
        </is>
      </c>
      <c r="AT89" s="2" t="inlineStr">
        <is>
          <t>Moderate — official extract metadata; direct archive review pending</t>
        </is>
      </c>
      <c r="AU89" s="2" t="inlineStr">
        <is>
          <t>Selection role: Target-lane candidate. Solicitation family contains 8 notice version(s): 5888ac71c3c44fbbac8f11c33862d1ed; 924fffb54f754a53904893642aa85d00; 6d1684c8620b4d3dad5cd5eb7a2e5590; 9c1e4365a3e1466c9ce0e61d36197908; a6520aa42130416c9360dc8dbd26eb70; 6b257321a2a94ac19e1c219db0dfdd22; eabe12745c5a485886dabc1ba8cbd5f2; ff6211114e3c426491c937dcc0806538. Representative notice chosen by detail score, not outcome. Historical award mapping did not control selection.</t>
        </is>
      </c>
      <c r="AV89" s="2" t="inlineStr">
        <is>
          <t>67483</t>
        </is>
      </c>
    </row>
    <row r="90">
      <c r="A90" s="2" t="inlineStr">
        <is>
          <t>HOS01-089</t>
        </is>
      </c>
      <c r="B90" s="2" t="inlineStr">
        <is>
          <t>8483b45911794ddd911f4a1ab24b90eb</t>
        </is>
      </c>
      <c r="C90" s="2" t="inlineStr">
        <is>
          <t>N0038322QD505</t>
        </is>
      </c>
      <c r="D90" s="2" t="inlineStr">
        <is>
          <t>https://sam.gov/workspace/contract/opp/8483b45911794ddd911f4a1ab24b90eb/view</t>
        </is>
      </c>
      <c r="E90" s="2" t="inlineStr">
        <is>
          <t>Solicitation</t>
        </is>
      </c>
      <c r="F90" s="2" t="inlineStr">
        <is>
          <t>2024-09-12</t>
        </is>
      </c>
      <c r="G90" s="2" t="inlineStr">
        <is>
          <t>2024-09-26</t>
        </is>
      </c>
      <c r="H90" s="2" t="inlineStr">
        <is>
          <t>DEPT OF DEFENSE</t>
        </is>
      </c>
      <c r="I90" s="2" t="inlineStr">
        <is>
          <t>DEPT OF THE NAVY</t>
        </is>
      </c>
      <c r="J90" s="2" t="inlineStr">
        <is>
          <t>NAVSUP WEAPON SYSTEMS SUPPORT</t>
        </is>
      </c>
      <c r="K90" s="2" t="inlineStr">
        <is>
          <t>15--FLAP ASSY, IN REPAIR/MODIFICATION OF</t>
        </is>
      </c>
      <c r="L90" s="2" t="inlineStr">
        <is>
          <t>CONTACT INFORMATION|4|N721.10|B1U|609-284-3898|joshua.j.seltzer.civ@us.navy.mil| ITEM UNIQUE IDENTIFICATION AND VALUATION (MAR 2022)|19|||||||||||||||||||| HIGHER-LEVEL CONTRACT QUALITY REQUIREMENT|8|x|||||||| INSPECTION AND ACCEPTANCE OF SUPPLIES|26|x||||||||||||x|||||||||||||| WIDE AREA WORKFLOW PAYMENT INSTRUCTIONS (DEC 2018)|16|INVOICE AND RECEIVING REPORT COMBO TYPE|N/A|TBD|N00383|TBD|TBD|See Schedule|TBD|||TBD|||||| NAVY USE OF ABILITYONE SUPPORT CONTRACTOR - RELEASE OF OFFEROR INFORMATION (3-18))|1|| EQUAL OPPORTUNITY (SEP 2016)|2||| WARRANTY OF SUPPLIES OF A NONCOMPLEX NATURE (JUN 2003)|6|12 months|60 days after discovery of defect||||| EQUAL OPPORTUITY FOR WORKERS WITH DISABILITIES (JUN 2020)|2||| BUY AMERICAN-FREE TRADE AGREEMENTS-BALANCE OF PAYMENTS PROGRAM - BASIC(DEVIATION 2020-O0019) (MAR 2022))|3|||| ALTERNATE A, ANNUAL REPRESENTATIONS AND CERTIFICATIONS (NOV 2020)|13|||||||||||||| BUY AMERICAN-FREE TRADE AGREEMENTS-BALANCE OF PAYMENTS PROGRAM CERTIFICATE (DEVIATION 2020-O0019) (JUL 2020))|3|||| BUY AMERICAN--BALANCE OF PAYMENTS PROGRAM (NOV 2014)|1|| ROYALTY INFORMATION (APR 1984)|1|| ANNUAL REPRESENTATIONS AND CERTIFICATIONS (MAY 2022)|13|336413|1250|||||||||||| NOTICE OF PRIORITY RATING FOR NATIONAL DEFENSE, EMERGENCY PREPAREDNESS, ANDENERGY PROGRAM USE (APR 2008))|2||x| The purpose of this amendment is to increase item quantity from 1 to 3. Repair Turnaround Time (RTAT) definition: The contractual delivery requirement is measured from asset Return to the date of asset acceptance under the terms of the contract. For purposes of this section, Return is defined as physical receipt of the F-condition asset at the contractor's facility as reflected in theAction Date entry in the Commercial Asset Visibility (CAV) system. In accordance with the CAV Statement</t>
        </is>
      </c>
      <c r="M90" s="2" t="inlineStr">
        <is>
          <t>336413</t>
        </is>
      </c>
      <c r="N90" s="2" t="inlineStr">
        <is>
          <t>1560</t>
        </is>
      </c>
      <c r="O90" s="2" t="inlineStr"/>
      <c r="P90" s="2" t="inlineStr">
        <is>
          <t>Unknown pre-award; historical award retained only as answer key when mapped</t>
        </is>
      </c>
      <c r="Q90" s="2" t="inlineStr">
        <is>
          <t>Excluded or control category</t>
        </is>
      </c>
      <c r="R90" s="2" t="inlineStr">
        <is>
          <t>Packaging, shipping, storage and containers</t>
        </is>
      </c>
      <c r="S90" s="2" t="inlineStr"/>
      <c r="T90" s="2" t="inlineStr">
        <is>
          <t>Archive review required</t>
        </is>
      </c>
      <c r="U90" s="2" t="inlineStr">
        <is>
          <t>Direct notice/resource lookup required</t>
        </is>
      </c>
      <c r="V90" s="2" t="inlineStr">
        <is>
          <t>Yes — 2 notice version(s)</t>
        </is>
      </c>
      <c r="W90" s="2" t="inlineStr">
        <is>
          <t>Unknown — archive retrieval required</t>
        </is>
      </c>
      <c r="X90" s="2" t="inlineStr">
        <is>
          <t>Not yet recovered</t>
        </is>
      </c>
      <c r="Y90" s="2" t="inlineStr"/>
      <c r="Z90" s="2" t="inlineStr"/>
      <c r="AA90" s="2" t="inlineStr"/>
      <c r="AB90" s="2" t="inlineStr"/>
      <c r="AC90" s="2" t="inlineStr">
        <is>
          <t>No parent vehicle indicated at solicitation intake; verify clauses</t>
        </is>
      </c>
      <c r="AD90" s="2" t="inlineStr">
        <is>
          <t>Potentially yes — direct solicitation or combined notice</t>
        </is>
      </c>
      <c r="AE90" s="2" t="inlineStr">
        <is>
          <t>No evidence in metadata; verify solicitation</t>
        </is>
      </c>
      <c r="AF90" s="2" t="inlineStr">
        <is>
          <t>Potentially yes — subject to historical SAM registration and representations</t>
        </is>
      </c>
      <c r="AG90" s="2" t="inlineStr">
        <is>
          <t>Probable mandatory-source conflict</t>
        </is>
      </c>
      <c r="AH90" s="2" t="inlineStr">
        <is>
          <t>Exact product/NSN review required</t>
        </is>
      </c>
      <c r="AI90" s="2" t="inlineStr">
        <is>
          <t>Rental / lease</t>
        </is>
      </c>
      <c r="AJ90" s="2" t="inlineStr">
        <is>
          <t>Promising metadata; archive requirements review required</t>
        </is>
      </c>
      <c r="AK90" s="2" t="inlineStr">
        <is>
          <t>Unknown — never infer from award amount</t>
        </is>
      </c>
      <c r="AL90" s="2" t="inlineStr">
        <is>
          <t>Not modeled before archive and supplier-pricing gates</t>
        </is>
      </c>
      <c r="AM90" s="2" t="inlineStr">
        <is>
          <t>Unclassified pending requirements and sourcing</t>
        </is>
      </c>
      <c r="AN90" s="2" t="inlineStr">
        <is>
          <t>Not modeled before supplier pricing</t>
        </is>
      </c>
      <c r="AO90" s="2" t="inlineStr">
        <is>
          <t>0</t>
        </is>
      </c>
      <c r="AP90" s="2" t="inlineStr">
        <is>
          <t>0</t>
        </is>
      </c>
      <c r="AQ90" s="2" t="inlineStr">
        <is>
          <t>Strikeout</t>
        </is>
      </c>
      <c r="AR90" s="2" t="inlineStr">
        <is>
          <t>Gate 5 — mandatory source</t>
        </is>
      </c>
      <c r="AS90" s="2" t="inlineStr">
        <is>
          <t>NO-BID / CONTROL</t>
        </is>
      </c>
      <c r="AT90" s="2" t="inlineStr">
        <is>
          <t>Moderate — official extract metadata; direct archive review pending</t>
        </is>
      </c>
      <c r="AU90" s="2" t="inlineStr">
        <is>
          <t>Selection role: Target-lane candidate. Solicitation family contains 2 notice version(s): 8483b45911794ddd911f4a1ab24b90eb; c08fb053e227471e9f7672c6163e2e38. Representative notice chosen by detail score, not outcome. Historical award mapping did not control selection.</t>
        </is>
      </c>
      <c r="AV90" s="2" t="inlineStr">
        <is>
          <t>65473</t>
        </is>
      </c>
    </row>
    <row r="91">
      <c r="A91" s="2" t="inlineStr">
        <is>
          <t>HOS01-090</t>
        </is>
      </c>
      <c r="B91" s="2" t="inlineStr">
        <is>
          <t>178ca7f178a347879957287c33b6e126</t>
        </is>
      </c>
      <c r="C91" s="2" t="inlineStr">
        <is>
          <t>QSE--36C78623Q50246</t>
        </is>
      </c>
      <c r="D91" s="2" t="inlineStr">
        <is>
          <t>https://sam.gov/workspace/contract/opp/178ca7f178a347879957287c33b6e126/view</t>
        </is>
      </c>
      <c r="E91" s="2" t="inlineStr">
        <is>
          <t>Solicitation</t>
        </is>
      </c>
      <c r="F91" s="2" t="inlineStr">
        <is>
          <t>2023-07-21</t>
        </is>
      </c>
      <c r="G91" s="2" t="inlineStr">
        <is>
          <t>2023-07-31</t>
        </is>
      </c>
      <c r="H91" s="2" t="inlineStr">
        <is>
          <t>VETERANS AFFAIRS, DEPARTMENT OF</t>
        </is>
      </c>
      <c r="I91" s="2" t="inlineStr">
        <is>
          <t>VETERANS AFFAIRS, DEPARTMENT OF</t>
        </is>
      </c>
      <c r="J91" s="2" t="inlineStr">
        <is>
          <t>NATIONAL CEMETERY ADMIN (36C786)</t>
        </is>
      </c>
      <c r="K91" s="2" t="inlineStr">
        <is>
          <t>PCD|Tahoma NC|Portable Toilets -- 9330</t>
        </is>
      </c>
      <c r="L91" s="2" t="inlineStr">
        <is>
          <t>PCD|Tahoma NC|Portable Toilets -- 9330 Requesting sole source vendor Northwest Cascade (HMJKFKDE9N68) No other GSA vendors available. Requesting contract for base plus 4 years. Tahoma National Cemetery Cemetery has a need for a base +4 option year contract to provide portabe toilets Quantity of units required per event will vary, ranging from three (3) to ten (10); with an estimated three (3), or more, events per year. Evaluation Criteria Lowest Price Please Contact Jennifer Drummonds for site visit details. Email: Jennifer.Drummonds@va.gov Phone: (425) 433-2044 Questions will not be answered 48 hours priot to solicitation closing date and time. Please email all quotes to Baron.Toms@va.gov/ Brian.Trahan@va.gov</t>
        </is>
      </c>
      <c r="M91" s="2" t="inlineStr">
        <is>
          <t>562991</t>
        </is>
      </c>
      <c r="N91" s="2" t="inlineStr">
        <is>
          <t>9330</t>
        </is>
      </c>
      <c r="O91" s="2" t="inlineStr"/>
      <c r="P91" s="2" t="inlineStr">
        <is>
          <t>Unknown pre-award; historical award retained only as answer key when mapped</t>
        </is>
      </c>
      <c r="Q91" s="2" t="inlineStr">
        <is>
          <t>Excluded or control category</t>
        </is>
      </c>
      <c r="R91" s="2" t="inlineStr">
        <is>
          <t>Mixed controls</t>
        </is>
      </c>
      <c r="S91" s="2" t="inlineStr">
        <is>
          <t>Kent, WA, 98042, USA</t>
        </is>
      </c>
      <c r="T91" s="2" t="inlineStr">
        <is>
          <t>Kent, WA, 98042, USA</t>
        </is>
      </c>
      <c r="U91" s="2" t="inlineStr">
        <is>
          <t>Direct notice/resource lookup required</t>
        </is>
      </c>
      <c r="V91" s="2" t="inlineStr">
        <is>
          <t>Yes — 5 notice version(s)</t>
        </is>
      </c>
      <c r="W91" s="2" t="inlineStr">
        <is>
          <t>Unknown — archive retrieval required</t>
        </is>
      </c>
      <c r="X91" s="2" t="inlineStr">
        <is>
          <t>Not yet recovered</t>
        </is>
      </c>
      <c r="Y91" s="2" t="inlineStr"/>
      <c r="Z91" s="2" t="inlineStr"/>
      <c r="AA91" s="2" t="inlineStr"/>
      <c r="AB91" s="2" t="inlineStr"/>
      <c r="AC91" s="2" t="inlineStr">
        <is>
          <t>No parent vehicle indicated at solicitation intake; verify clauses</t>
        </is>
      </c>
      <c r="AD91" s="2" t="inlineStr">
        <is>
          <t>Potentially yes — direct solicitation or combined notice</t>
        </is>
      </c>
      <c r="AE91" s="2" t="inlineStr">
        <is>
          <t>No evidence in metadata; verify solicitation</t>
        </is>
      </c>
      <c r="AF91" s="2" t="inlineStr">
        <is>
          <t>Potentially yes — subject to historical SAM registration and representations</t>
        </is>
      </c>
      <c r="AG91" s="2" t="inlineStr">
        <is>
          <t>No conflict detected in metadata; exact product review required</t>
        </is>
      </c>
      <c r="AH91" s="2" t="inlineStr">
        <is>
          <t>Exact product/NSN review required</t>
        </is>
      </c>
      <c r="AI91" s="2" t="inlineStr">
        <is>
          <t>Rental / lease</t>
        </is>
      </c>
      <c r="AJ91" s="2" t="inlineStr">
        <is>
          <t>Promising metadata; archive requirements review required</t>
        </is>
      </c>
      <c r="AK91" s="2" t="inlineStr">
        <is>
          <t>Unknown — never infer from award amount</t>
        </is>
      </c>
      <c r="AL91" s="2" t="inlineStr">
        <is>
          <t>Not modeled before archive and supplier-pricing gates</t>
        </is>
      </c>
      <c r="AM91" s="2" t="inlineStr">
        <is>
          <t>Unclassified pending requirements and sourcing</t>
        </is>
      </c>
      <c r="AN91" s="2" t="inlineStr">
        <is>
          <t>Not modeled before supplier pricing</t>
        </is>
      </c>
      <c r="AO91" s="2" t="inlineStr">
        <is>
          <t>90</t>
        </is>
      </c>
      <c r="AP91" s="2" t="inlineStr">
        <is>
          <t>0</t>
        </is>
      </c>
      <c r="AQ91" s="2" t="inlineStr">
        <is>
          <t>Strikeout</t>
        </is>
      </c>
      <c r="AR91" s="2" t="inlineStr">
        <is>
          <t>Gate 6 — product/service exclusion</t>
        </is>
      </c>
      <c r="AS91" s="2" t="inlineStr">
        <is>
          <t>NO-BID / CONTROL</t>
        </is>
      </c>
      <c r="AT91" s="2" t="inlineStr">
        <is>
          <t>Moderate — official extract metadata; direct archive review pending</t>
        </is>
      </c>
      <c r="AU91" s="2" t="inlineStr">
        <is>
          <t>Selection role: Target-lane candidate. Solicitation family contains 5 notice version(s): 178ca7f178a347879957287c33b6e126; 860e062d150a4759bad04bcd515f73ba; 6436ff44eb43427d812c6726b8d5fea5; 0d4b810def814abfa5ef4d8678f5f92c; 493e8c8745934149ab07b3a1713c273b. Representative notice chosen by detail score, not outcome. Historical award mapping did not control selection.</t>
        </is>
      </c>
      <c r="AV91" s="2" t="inlineStr">
        <is>
          <t>68689</t>
        </is>
      </c>
    </row>
    <row r="92">
      <c r="A92" s="2" t="inlineStr">
        <is>
          <t>HOS01-091</t>
        </is>
      </c>
      <c r="B92" s="2" t="inlineStr">
        <is>
          <t>f6401633c7be4628aab06a2a86bc51bb</t>
        </is>
      </c>
      <c r="C92" s="2" t="inlineStr">
        <is>
          <t>N6660423Q0793</t>
        </is>
      </c>
      <c r="D92" s="2" t="inlineStr">
        <is>
          <t>https://sam.gov/workspace/contract/opp/f6401633c7be4628aab06a2a86bc51bb/view</t>
        </is>
      </c>
      <c r="E92" s="2" t="inlineStr">
        <is>
          <t>Combined Synopsis/Solicitation</t>
        </is>
      </c>
      <c r="F92" s="2" t="inlineStr">
        <is>
          <t>2023-09-12</t>
        </is>
      </c>
      <c r="G92" s="2" t="inlineStr">
        <is>
          <t>2023-10-16</t>
        </is>
      </c>
      <c r="H92" s="2" t="inlineStr">
        <is>
          <t>DEPT OF DEFENSE</t>
        </is>
      </c>
      <c r="I92" s="2" t="inlineStr">
        <is>
          <t>DEPT OF THE NAVY</t>
        </is>
      </c>
      <c r="J92" s="2" t="inlineStr">
        <is>
          <t>NUWC DIV NEWPORT</t>
        </is>
      </c>
      <c r="K92" s="2" t="inlineStr">
        <is>
          <t>TY-18 ES Sensor Radio Frequency Switches</t>
        </is>
      </c>
      <c r="L92" s="2" t="inlineStr">
        <is>
          <t>Procurement of Thirty Six (36) Switch, SPDT, Electo-Mechanical, DC-2.5 GHz, Low Loss. Brand Name Procurement is Ducommun Technologies Inc. See attached Brand Name Specification, RFQ, and CDRLs. Distribution D Drawings will be made available to JCP Certified Contractors via DoDSAFE and will be issued upon request. As a condition of receiving DOD or DND controlled technical data, the offeror agrees to use the data only inn ways mandated by DOD Directive 5230.25 or the TDCR (Technical Data Control Regulations). For information regarding JCP registration, go to https://www.dlis.dla.mil/jcp/.</t>
        </is>
      </c>
      <c r="M92" s="2" t="inlineStr">
        <is>
          <t>334511</t>
        </is>
      </c>
      <c r="N92" s="2" t="inlineStr">
        <is>
          <t>5930</t>
        </is>
      </c>
      <c r="O92" s="2" t="inlineStr"/>
      <c r="P92" s="2" t="inlineStr">
        <is>
          <t>Unknown pre-award; historical award retained only as answer key when mapped</t>
        </is>
      </c>
      <c r="Q92" s="2" t="inlineStr">
        <is>
          <t>Product / commercial supply candidate</t>
        </is>
      </c>
      <c r="R92" s="2" t="inlineStr">
        <is>
          <t>Mixed controls</t>
        </is>
      </c>
      <c r="S92" s="2" t="inlineStr">
        <is>
          <t>USA</t>
        </is>
      </c>
      <c r="T92" s="2" t="inlineStr">
        <is>
          <t>USA</t>
        </is>
      </c>
      <c r="U92" s="2" t="inlineStr">
        <is>
          <t>Direct notice/resource lookup required</t>
        </is>
      </c>
      <c r="V92" s="2" t="inlineStr">
        <is>
          <t>Yes — 2 notice version(s)</t>
        </is>
      </c>
      <c r="W92" s="2" t="inlineStr">
        <is>
          <t>Unknown — archive retrieval required</t>
        </is>
      </c>
      <c r="X92" s="2" t="inlineStr">
        <is>
          <t>Not yet recovered</t>
        </is>
      </c>
      <c r="Y92" s="2" t="inlineStr"/>
      <c r="Z92" s="2" t="inlineStr"/>
      <c r="AA92" s="2" t="inlineStr"/>
      <c r="AB92" s="2" t="inlineStr"/>
      <c r="AC92" s="2" t="inlineStr">
        <is>
          <t>No parent vehicle indicated at solicitation intake; verify clauses</t>
        </is>
      </c>
      <c r="AD92" s="2" t="inlineStr">
        <is>
          <t>Potentially yes — direct solicitation or combined notice</t>
        </is>
      </c>
      <c r="AE92" s="2" t="inlineStr">
        <is>
          <t>No evidence in metadata; verify solicitation</t>
        </is>
      </c>
      <c r="AF92" s="2" t="inlineStr">
        <is>
          <t>Potentially yes — subject to historical SAM registration and representations</t>
        </is>
      </c>
      <c r="AG92" s="2" t="inlineStr">
        <is>
          <t>No conflict detected in metadata; exact product review required</t>
        </is>
      </c>
      <c r="AH92" s="2" t="inlineStr">
        <is>
          <t>Exact product/NSN review required</t>
        </is>
      </c>
      <c r="AI92" s="2" t="inlineStr">
        <is>
          <t>Pass / no automatic exclusion detected</t>
        </is>
      </c>
      <c r="AJ92" s="2" t="inlineStr">
        <is>
          <t>Promising metadata; archive requirements review required</t>
        </is>
      </c>
      <c r="AK92" s="2" t="inlineStr">
        <is>
          <t>Unknown — never infer from award amount</t>
        </is>
      </c>
      <c r="AL92" s="2" t="inlineStr">
        <is>
          <t>Not modeled before archive and supplier-pricing gates</t>
        </is>
      </c>
      <c r="AM92" s="2" t="inlineStr">
        <is>
          <t>Unclassified pending requirements and sourcing</t>
        </is>
      </c>
      <c r="AN92" s="2" t="inlineStr">
        <is>
          <t>Not modeled before supplier pricing</t>
        </is>
      </c>
      <c r="AO92" s="2" t="inlineStr">
        <is>
          <t>90</t>
        </is>
      </c>
      <c r="AP92" s="2" t="inlineStr">
        <is>
          <t>60</t>
        </is>
      </c>
      <c r="AQ92" s="2" t="inlineStr">
        <is>
          <t>Double</t>
        </is>
      </c>
      <c r="AR92" s="2" t="inlineStr">
        <is>
          <t>Passes Gates 1-6 preliminarily; Gate 7 archive review pending</t>
        </is>
      </c>
      <c r="AS92" s="2" t="inlineStr">
        <is>
          <t>REVIEW — archive reconstruction</t>
        </is>
      </c>
      <c r="AT92" s="2" t="inlineStr">
        <is>
          <t>Moderate — official extract metadata; direct archive review pending</t>
        </is>
      </c>
      <c r="AU92" s="2" t="inlineStr">
        <is>
          <t>Selection role: Target-lane candidate. Solicitation family contains 2 notice version(s): f6401633c7be4628aab06a2a86bc51bb; 4aff6c79908546ff9d7e5209bde4ea44. Representative notice chosen by detail score, not outcome. Historical award mapping did not control selection.</t>
        </is>
      </c>
      <c r="AV92" s="2" t="inlineStr">
        <is>
          <t>68311</t>
        </is>
      </c>
    </row>
    <row r="93">
      <c r="A93" s="2" t="inlineStr">
        <is>
          <t>HOS01-092</t>
        </is>
      </c>
      <c r="B93" s="2" t="inlineStr">
        <is>
          <t>f60bfe6661d44f8a9b250e7bc7d228f3</t>
        </is>
      </c>
      <c r="C93" s="2" t="inlineStr">
        <is>
          <t>47PA0724R0005</t>
        </is>
      </c>
      <c r="D93" s="2" t="inlineStr">
        <is>
          <t>https://sam.gov/workspace/contract/opp/f60bfe6661d44f8a9b250e7bc7d228f3/view</t>
        </is>
      </c>
      <c r="E93" s="2" t="inlineStr">
        <is>
          <t>Solicitation</t>
        </is>
      </c>
      <c r="F93" s="2" t="inlineStr">
        <is>
          <t>2024-07-31</t>
        </is>
      </c>
      <c r="G93" s="2" t="inlineStr">
        <is>
          <t>2024-10-10</t>
        </is>
      </c>
      <c r="H93" s="2" t="inlineStr">
        <is>
          <t>GENERAL SERVICES ADMINISTRATION</t>
        </is>
      </c>
      <c r="I93" s="2" t="inlineStr">
        <is>
          <t>PUBLIC BUILDINGS SERVICE</t>
        </is>
      </c>
      <c r="J93" s="2" t="inlineStr">
        <is>
          <t>PBS OFFICE OF FACILITIES MANAGEMENT</t>
        </is>
      </c>
      <c r="K93" s="2" t="inlineStr">
        <is>
          <t>GSA: PJM Carbon-Pollution Free Electricity/Retail Electricity 2024</t>
        </is>
      </c>
      <c r="L93" s="2" t="inlineStr">
        <is>
          <t xml:space="preserve">11/18/2024 Amendment 0007: Revised Pricing Group 8 to Exhibit 1 10/03/2024: Replaced sixth amended Exhibit 1 due to missing fields in the pivot table. 10/02/2024 Amendment 0006: provides instructions for offerors to enter into proprietary information agreements with GSA contractors for evaluation purposes. Revises the amount of CFE required for FY2035 and provides a sixth amended Exhibit 1. All other terms and conditions remain the same. 09/19/2024 Amendment 0005: provides a fifth amended Exhibit 1. All other terms and conditions remain the same. 09/17/2024 Amendment 0004: provides a fourth amended Exhibit 1. All other terms and conditions remain the same. 09/11/2024 Amendment 0003: incorporates 1. Questions and Answers Part 3. 2. Provides a third amended Solicitation and Exhibit 1. 3. Extends the technical proposal due and the price proposal due date. All other terms and conditions remain the same. 08/29/2024 Amendment 0002: incorporates: 1. Questions and Answers Part 2. 2. Provides a second amended Solicitation and Exhibit 1. All other terms and conditions remain the same. 08/15/2024 Amendment 0001: incorporates: 1. Questions and Answers Part 1; 2.Extends the technical proposal and price proposal due dates 3. Provides a revised Solicitation and Exhibit 1. 4. Updates Attachment 11. All other terms and conditions remain the same. 07/31/2024 Orignal Solicitation: The U.S. General Services Administration (GSA), in collaboration with the U.S. Department of Defense (DoD), previously released a Request for Information (RFI) and hosted an Industry Day in Washington, D.C. on February 20, 2024, seeking information from contractors who could supply carbon pollution-free electricity (CFE) in the PJM Interconnection/Regional Transmission Operator (PJM/RTO). Both agencies took the </t>
        </is>
      </c>
      <c r="M93" s="2" t="inlineStr">
        <is>
          <t>221122</t>
        </is>
      </c>
      <c r="N93" s="2" t="inlineStr">
        <is>
          <t>S112</t>
        </is>
      </c>
      <c r="O93" s="2" t="inlineStr"/>
      <c r="P93" s="2" t="inlineStr">
        <is>
          <t>Unknown pre-award; historical award retained only as answer key when mapped</t>
        </is>
      </c>
      <c r="Q93" s="2" t="inlineStr">
        <is>
          <t>Excluded or control category</t>
        </is>
      </c>
      <c r="R93" s="2" t="inlineStr">
        <is>
          <t>Mixed controls</t>
        </is>
      </c>
      <c r="S93" s="2" t="inlineStr">
        <is>
          <t>Washington, DC, 20405, USA</t>
        </is>
      </c>
      <c r="T93" s="2" t="inlineStr">
        <is>
          <t>Washington, DC, 20405, USA</t>
        </is>
      </c>
      <c r="U93" s="2" t="inlineStr">
        <is>
          <t>Direct notice/resource lookup required</t>
        </is>
      </c>
      <c r="V93" s="2" t="inlineStr">
        <is>
          <t>Yes — 10 notice version(s)</t>
        </is>
      </c>
      <c r="W93" s="2" t="inlineStr">
        <is>
          <t>Unknown — archive retrieval required</t>
        </is>
      </c>
      <c r="X93" s="2" t="inlineStr">
        <is>
          <t>Not yet recovered</t>
        </is>
      </c>
      <c r="Y93" s="2" t="inlineStr"/>
      <c r="Z93" s="2" t="inlineStr"/>
      <c r="AA93" s="2" t="inlineStr"/>
      <c r="AB93" s="2" t="inlineStr"/>
      <c r="AC93" s="2" t="inlineStr">
        <is>
          <t>No parent vehicle indicated at solicitation intake; verify clauses</t>
        </is>
      </c>
      <c r="AD93" s="2" t="inlineStr">
        <is>
          <t>Potentially yes — direct solicitation or combined notice</t>
        </is>
      </c>
      <c r="AE93" s="2" t="inlineStr">
        <is>
          <t>No evidence in metadata; verify solicitation</t>
        </is>
      </c>
      <c r="AF93" s="2" t="inlineStr">
        <is>
          <t>Potentially yes — subject to historical SAM registration and representations</t>
        </is>
      </c>
      <c r="AG93" s="2" t="inlineStr">
        <is>
          <t>No conflict detected in metadata; exact product review required</t>
        </is>
      </c>
      <c r="AH93" s="2" t="inlineStr">
        <is>
          <t>Exact product/NSN review required</t>
        </is>
      </c>
      <c r="AI93" s="2" t="inlineStr">
        <is>
          <t>Food / perishables</t>
        </is>
      </c>
      <c r="AJ93" s="2" t="inlineStr">
        <is>
          <t>Promising metadata; archive requirements review required</t>
        </is>
      </c>
      <c r="AK93" s="2" t="inlineStr">
        <is>
          <t>Unknown — never infer from award amount</t>
        </is>
      </c>
      <c r="AL93" s="2" t="inlineStr">
        <is>
          <t>Not modeled before archive and supplier-pricing gates</t>
        </is>
      </c>
      <c r="AM93" s="2" t="inlineStr">
        <is>
          <t>Unclassified pending requirements and sourcing</t>
        </is>
      </c>
      <c r="AN93" s="2" t="inlineStr">
        <is>
          <t>Not modeled before supplier pricing</t>
        </is>
      </c>
      <c r="AO93" s="2" t="inlineStr">
        <is>
          <t>90</t>
        </is>
      </c>
      <c r="AP93" s="2" t="inlineStr">
        <is>
          <t>0</t>
        </is>
      </c>
      <c r="AQ93" s="2" t="inlineStr">
        <is>
          <t>Strikeout</t>
        </is>
      </c>
      <c r="AR93" s="2" t="inlineStr">
        <is>
          <t>Gate 6 — product/service exclusion</t>
        </is>
      </c>
      <c r="AS93" s="2" t="inlineStr">
        <is>
          <t>NO-BID / CONTROL</t>
        </is>
      </c>
      <c r="AT93" s="2" t="inlineStr">
        <is>
          <t>Moderate — official extract metadata; direct archive review pending</t>
        </is>
      </c>
      <c r="AU93" s="2" t="inlineStr">
        <is>
          <t>Selection role: Target-lane candidate. Solicitation family contains 10 notice version(s): 9df8481a1d374a0882cfe211a6efa16b; dcf68bf5252a4a7dac813545a34ee2d2; 066188e7a4cd4892a04382955c8d41fb; b68883970d4b4443adfbc2c5ed14b6c9; 30ddea31c61c4035a7cee9af28a00a01; e3dc6bd74f1d4d4299620af1fc2271a4; d9f139fd9aa84775813c7729d92f2b49; f45983bfc8bc429db6c0a02e15ab89ae; a58d95cd77db4beaaa0c8b28fff8fce8; f60bfe6661d44f8a9b250e7bc7d228f3. Representative notice chosen by detail score, not outcome. Historical award mapping did not control selection.</t>
        </is>
      </c>
      <c r="AV93" s="2" t="inlineStr">
        <is>
          <t>64809</t>
        </is>
      </c>
    </row>
    <row r="94">
      <c r="A94" s="2" t="inlineStr">
        <is>
          <t>HOS01-093</t>
        </is>
      </c>
      <c r="B94" s="2" t="inlineStr">
        <is>
          <t>6d98e09fa04e40b3b22294ab3590d1f0</t>
        </is>
      </c>
      <c r="C94" s="2" t="inlineStr">
        <is>
          <t>N0010423QXB31</t>
        </is>
      </c>
      <c r="D94" s="2" t="inlineStr">
        <is>
          <t>https://sam.gov/workspace/contract/opp/6d98e09fa04e40b3b22294ab3590d1f0/view</t>
        </is>
      </c>
      <c r="E94" s="2" t="inlineStr">
        <is>
          <t>Solicitation</t>
        </is>
      </c>
      <c r="F94" s="2" t="inlineStr">
        <is>
          <t>2023-02-23</t>
        </is>
      </c>
      <c r="G94" s="2" t="inlineStr">
        <is>
          <t>2024-10-25</t>
        </is>
      </c>
      <c r="H94" s="2" t="inlineStr">
        <is>
          <t>DEPT OF DEFENSE</t>
        </is>
      </c>
      <c r="I94" s="2" t="inlineStr">
        <is>
          <t>DEPT OF THE NAVY</t>
        </is>
      </c>
      <c r="J94" s="2" t="inlineStr">
        <is>
          <t>NAVSUP WEAPON SYSTEMS SUPPORT MECH</t>
        </is>
      </c>
      <c r="K94" s="2" t="inlineStr">
        <is>
          <t>POWER SUPPLY</t>
        </is>
      </c>
      <c r="L94" s="2" t="inlineStr">
        <is>
          <t>CONTACT INFORMATION|4|N774.18|BSA|SEE EMAIL|STEPHANIE.R.PEREZ1@NAVY.MIL| ITEM UNIQUE IDENTIFICATION AND VALUATION (MAR 2022)|19|||||||||||||||||||| HIGHER-LEVEL CONTRACT QUALITY REQUIREMENT (NAVICP REVIEW FEB 1991)(FEB 1999)|1|ISO 9001| INSPECTION OF SUPPLIES--FIXED-PRICE (AUG 1996)|2||| WIDE AREA WORKFLOW PAYMENT INSTRUCTIONS (DEC 2018)|16|INVOICE AND RECEIVING REPORT (COMBO) |N/A|TBD|N00104|TBD|TBD|SEE SCHEDULE|TBD|||TBD|||||| NAVY USE OF ABILITYONE SUPPORT CONTRACTOR - RELEASE OF OFFEROR INFORMATION (3-18))|1|WSS MECHANICSBURG| EQUAL OPPORTUNITY (SEP 2016)|2||| ALTERNATE A, ANNUAL REPRESENTATIONS AND CERTIFICATIONS (NOV 2020)|13|||||||||||||| ANNUAL REPRESENTATIONS AND CERTIFICATIONS (MAY 2022)|13|335931|500 EMPLOYEES|X|X|||||||||| NOTICE OF PRIORITY RATING FOR NATIONAL DEFENSE, EMERGENCY PERPARDENESS, AND ENRGY PROGAM USE (APRIL 2008))|2||| SOLICITATION IS EXTENDED AND WILL END ON 25 OCT 24. SOLICITATION IS EXTENDED AND WILL END ON 20 SEP 24. SOLICITATION IS EXTENDED AND WILL END ON 01 MAR 24. SOLICITATION EXTENDED AND WILL END ON 13 OCT 23. VENDOR NEEDS MORE TIME FOR QUOTE. SOLICITATION EXTENDED TO 20 JUNE 23. This solicitation is issued pursuant to Emergency Acquisition Authority (EAA). EVALUATION FACTORS: Evaluation Utilizing Simplified Acquisition Procedures The Government will issue an order resulting from this Request for Quotation to the responsible offeror whose quotation results in the best value to the Government, considering both price and a non-price factor. The following factors will be used to evaluate quotations: 1) Price. 2) Past Performance. The offeror's past performance on related contracts will be evaluated to determine, as appropriate, successful performance of contract requirements, quality and timeliness of delivery of goods and services, cost</t>
        </is>
      </c>
      <c r="M94" s="2" t="inlineStr">
        <is>
          <t>335931</t>
        </is>
      </c>
      <c r="N94" s="2" t="inlineStr">
        <is>
          <t>6130</t>
        </is>
      </c>
      <c r="O94" s="2" t="inlineStr"/>
      <c r="P94" s="2" t="inlineStr">
        <is>
          <t>Unknown pre-award; historical award retained only as answer key when mapped</t>
        </is>
      </c>
      <c r="Q94" s="2" t="inlineStr">
        <is>
          <t>Excluded or control category</t>
        </is>
      </c>
      <c r="R94" s="2" t="inlineStr">
        <is>
          <t>Packaging, shipping, storage and containers</t>
        </is>
      </c>
      <c r="S94" s="2" t="inlineStr"/>
      <c r="T94" s="2" t="inlineStr">
        <is>
          <t>Archive review required</t>
        </is>
      </c>
      <c r="U94" s="2" t="inlineStr">
        <is>
          <t>Direct notice/resource lookup required</t>
        </is>
      </c>
      <c r="V94" s="2" t="inlineStr">
        <is>
          <t>Yes — 13 notice version(s)</t>
        </is>
      </c>
      <c r="W94" s="2" t="inlineStr">
        <is>
          <t>Unknown — archive retrieval required</t>
        </is>
      </c>
      <c r="X94" s="2" t="inlineStr">
        <is>
          <t>Not yet recovered</t>
        </is>
      </c>
      <c r="Y94" s="2" t="inlineStr"/>
      <c r="Z94" s="2" t="inlineStr"/>
      <c r="AA94" s="2" t="inlineStr"/>
      <c r="AB94" s="2" t="inlineStr"/>
      <c r="AC94" s="2" t="inlineStr">
        <is>
          <t>No parent vehicle indicated at solicitation intake; verify clauses</t>
        </is>
      </c>
      <c r="AD94" s="2" t="inlineStr">
        <is>
          <t>Potentially yes — direct solicitation or combined notice</t>
        </is>
      </c>
      <c r="AE94" s="2" t="inlineStr">
        <is>
          <t>No evidence in metadata; verify solicitation</t>
        </is>
      </c>
      <c r="AF94" s="2" t="inlineStr">
        <is>
          <t>Potentially yes — subject to historical SAM registration and representations</t>
        </is>
      </c>
      <c r="AG94" s="2" t="inlineStr">
        <is>
          <t>Probable mandatory-source conflict</t>
        </is>
      </c>
      <c r="AH94" s="2" t="inlineStr">
        <is>
          <t>Exact product/NSN review required</t>
        </is>
      </c>
      <c r="AI94" s="2" t="inlineStr">
        <is>
          <t>Rental / lease</t>
        </is>
      </c>
      <c r="AJ94" s="2" t="inlineStr">
        <is>
          <t>Promising metadata; archive requirements review required</t>
        </is>
      </c>
      <c r="AK94" s="2" t="inlineStr">
        <is>
          <t>Unknown — never infer from award amount</t>
        </is>
      </c>
      <c r="AL94" s="2" t="inlineStr">
        <is>
          <t>Not modeled before archive and supplier-pricing gates</t>
        </is>
      </c>
      <c r="AM94" s="2" t="inlineStr">
        <is>
          <t>Unclassified pending requirements and sourcing</t>
        </is>
      </c>
      <c r="AN94" s="2" t="inlineStr">
        <is>
          <t>Not modeled before supplier pricing</t>
        </is>
      </c>
      <c r="AO94" s="2" t="inlineStr">
        <is>
          <t>0</t>
        </is>
      </c>
      <c r="AP94" s="2" t="inlineStr">
        <is>
          <t>0</t>
        </is>
      </c>
      <c r="AQ94" s="2" t="inlineStr">
        <is>
          <t>Strikeout</t>
        </is>
      </c>
      <c r="AR94" s="2" t="inlineStr">
        <is>
          <t>Gate 5 — mandatory source</t>
        </is>
      </c>
      <c r="AS94" s="2" t="inlineStr">
        <is>
          <t>NO-BID / CONTROL</t>
        </is>
      </c>
      <c r="AT94" s="2" t="inlineStr">
        <is>
          <t>Moderate — official extract metadata; direct archive review pending</t>
        </is>
      </c>
      <c r="AU94" s="2" t="inlineStr">
        <is>
          <t>Selection role: Target-lane candidate. Solicitation family contains 13 notice version(s): 5fe85baef24b4f2cbc8eb4f12473682d; 2fd485fe16744ec681fec7b5f0347b09; 7ce41be46ed746f4b7b67f4e19226e2e; f7f01a8d10aa49b09581f58936c47adc; 57a2de25c9e34bb998d89d4215f14c39; 9cb2a53473014b1bb9dbb32e251a3c97; 65b6b493c5a043dc92dc05cf781808e4; 867c6354e9d9493792acbb4c4fa770f9; 8e82ba42e8d449e6899efbda5dce0a89; 5c5d8303e4b541b5b03d386ce967384b; 2ddee369d09944ad8263a97b934c7adc; 6d98e09fa04e40b3b22294ab3590d1f0; 229d8c31ea994aa3922dedadef50f3d2. Representative notice chosen by detail score, not outcome. Historical award mapping did not control selection.</t>
        </is>
      </c>
      <c r="AV94" s="2" t="inlineStr">
        <is>
          <t>65126</t>
        </is>
      </c>
    </row>
    <row r="95">
      <c r="A95" s="2" t="inlineStr">
        <is>
          <t>HOS01-094</t>
        </is>
      </c>
      <c r="B95" s="2" t="inlineStr">
        <is>
          <t>d82bb7d8e7c44e88bec47138ec0fa1f5</t>
        </is>
      </c>
      <c r="C95" s="2" t="inlineStr">
        <is>
          <t>N0010424QFE04</t>
        </is>
      </c>
      <c r="D95" s="2" t="inlineStr">
        <is>
          <t>https://sam.gov/workspace/contract/opp/d82bb7d8e7c44e88bec47138ec0fa1f5/view</t>
        </is>
      </c>
      <c r="E95" s="2" t="inlineStr">
        <is>
          <t>Solicitation</t>
        </is>
      </c>
      <c r="F95" s="2" t="inlineStr">
        <is>
          <t>2024-08-01</t>
        </is>
      </c>
      <c r="G95" s="2" t="inlineStr">
        <is>
          <t>2024-08-16</t>
        </is>
      </c>
      <c r="H95" s="2" t="inlineStr">
        <is>
          <t>DEPT OF DEFENSE</t>
        </is>
      </c>
      <c r="I95" s="2" t="inlineStr">
        <is>
          <t>DEPT OF THE NAVY</t>
        </is>
      </c>
      <c r="J95" s="2" t="inlineStr">
        <is>
          <t>NAVSUP WEAPON SYSTEMS SUPPORT MECH</t>
        </is>
      </c>
      <c r="K95" s="2" t="inlineStr">
        <is>
          <t>VALVE,BALL</t>
        </is>
      </c>
      <c r="L95" s="2" t="inlineStr">
        <is>
          <t xml:space="preserve">CONTACT INFORMATION|4|N743.45|n/a|717-605-2227|sylvia.sentz@navy.mil| ITEM UNIQUE IDENTIFICATION AND VALUATION (JAN 2023)|19|||||||||||||||||||| HIGHER-LEVEL CONTRACT QUALITY REQUIREMENT (NAVICP REVIEW FEB 1991)(FEB 1999)|1|See specification sections C and E| INSPECTION OF SUPPLIES--FIXED-PRICE (AUG 1996)|2||| INSPECTION AND ACCEPTANCE - SHORT VERSION|8|x||x|||||| TIME OF DELIVERY (JUNE 1997)|20|0001|3|365 days|0002|1|365 days||||||||||||||| GENERAL INFORMATION-FOB-DESTINATION|1|b| WIDE AREA WORKFLOW PAYMENT INSTRUCTIONS (JAN 2023)|16|Stand-Alone Receiving Report - Certifications Combo-Receiving Report &amp; Invoice - Material |n/a|tbd|N00104|tbd|N39040 - Certifications, S4306A - Material|N50286|tbd|133.2|n/a|n/a|S4306A - Material|n/a|n/a|See DD 1423|PORT_PTNH_WAWF_NOTIFICATION@NAVY.MIL| NAVY USE OF ABILITYONE SUPPORT CONTRACTOR - RELEASE OF OFFEROR INFORMATION (3-18))|1|| EQUAL OPPORTUNITY (SEP 2016)|2||| WARRANTY OF SUPPLIES OF A NONCOMPLEX NATURE (JUNE 2003)|6|one year from date of delivery|one year from date of delivery||||| WARRANTY OF DATA--BASIC (MAR 2014)|2||| BUY AMERICAN-FREE TRADE AGREEMENTS-BALANCE OF PAYMENTS PROGRAM-BASIC (FEB 2024)|11|||||||||||| NOTICE OF TOTAL SMALL BUSINESS SET-ASIDE (OCT 2020)(DEVIATION 2020-O0008)|1|| ALTERNATE A, ANNUAL REPRESENTATIONS AND CERTIFICATIONS (NOV 2023)|13|||||||||||||| SMALL BUSINESS PROGRAM REPRESENTATIONS (FEB 2024)|4||||| BUY AMERICAN-FREE TRADE AGREEMENTS-BALANCE OF PAYMENTS PROGRAM CERTIFICATE-BASIC (FEB 2024))|5|||||| BUY AMERICAN-BALANCE OF PAYMENTS PROGRAM CERTIFICATE-BASIC (FEB 2024)|1|| ANNUAL REPRESENTATIONS AND CERTIFICATIONS (MAY 2024)|13|332919|750|||||||||||| NOTICE OF PRIORITY RATING FOR NATIONAL DEFENSE, EMERGENCY PERPARDENESS, AND ENRGY PROGAM USE (APRIL 2008))|2||x| 1. Data Item A001 and B001 (inspection </t>
        </is>
      </c>
      <c r="M95" s="2" t="inlineStr">
        <is>
          <t>332919</t>
        </is>
      </c>
      <c r="N95" s="2" t="inlineStr">
        <is>
          <t>4820</t>
        </is>
      </c>
      <c r="O95" s="2" t="inlineStr"/>
      <c r="P95" s="2" t="inlineStr">
        <is>
          <t>Unknown pre-award; historical award retained only as answer key when mapped</t>
        </is>
      </c>
      <c r="Q95" s="2" t="inlineStr">
        <is>
          <t>Excluded or control category</t>
        </is>
      </c>
      <c r="R95" s="2" t="inlineStr">
        <is>
          <t>MRO tools and commercial hardware</t>
        </is>
      </c>
      <c r="S95" s="2" t="inlineStr"/>
      <c r="T95" s="2" t="inlineStr">
        <is>
          <t>Archive review required</t>
        </is>
      </c>
      <c r="U95" s="2" t="inlineStr">
        <is>
          <t>Direct notice/resource lookup required</t>
        </is>
      </c>
      <c r="V95" s="2" t="inlineStr">
        <is>
          <t>Yes — 2 notice version(s)</t>
        </is>
      </c>
      <c r="W95" s="2" t="inlineStr">
        <is>
          <t>Unknown — archive retrieval required</t>
        </is>
      </c>
      <c r="X95" s="2" t="inlineStr">
        <is>
          <t>Not yet recovered</t>
        </is>
      </c>
      <c r="Y95" s="2" t="inlineStr"/>
      <c r="Z95" s="2" t="inlineStr"/>
      <c r="AA95" s="2" t="inlineStr"/>
      <c r="AB95" s="2" t="inlineStr"/>
      <c r="AC95" s="2" t="inlineStr">
        <is>
          <t>No parent vehicle indicated at solicitation intake; verify clauses</t>
        </is>
      </c>
      <c r="AD95" s="2" t="inlineStr">
        <is>
          <t>Potentially yes — direct solicitation or combined notice</t>
        </is>
      </c>
      <c r="AE95" s="2" t="inlineStr">
        <is>
          <t>No evidence in metadata; verify solicitation</t>
        </is>
      </c>
      <c r="AF95" s="2" t="inlineStr">
        <is>
          <t>Potentially yes — subject to historical SAM registration and representations</t>
        </is>
      </c>
      <c r="AG95" s="2" t="inlineStr">
        <is>
          <t>Probable mandatory-source conflict</t>
        </is>
      </c>
      <c r="AH95" s="2" t="inlineStr">
        <is>
          <t>Exact product/NSN review required</t>
        </is>
      </c>
      <c r="AI95" s="2" t="inlineStr">
        <is>
          <t>Restricted NSN / approved-source / defense-platform risk</t>
        </is>
      </c>
      <c r="AJ95" s="2" t="inlineStr">
        <is>
          <t>Promising metadata; archive requirements review required</t>
        </is>
      </c>
      <c r="AK95" s="2" t="inlineStr">
        <is>
          <t>Unknown — never infer from award amount</t>
        </is>
      </c>
      <c r="AL95" s="2" t="inlineStr">
        <is>
          <t>Not modeled before archive and supplier-pricing gates</t>
        </is>
      </c>
      <c r="AM95" s="2" t="inlineStr">
        <is>
          <t>Unclassified pending requirements and sourcing</t>
        </is>
      </c>
      <c r="AN95" s="2" t="inlineStr">
        <is>
          <t>Not modeled before supplier pricing</t>
        </is>
      </c>
      <c r="AO95" s="2" t="inlineStr">
        <is>
          <t>0</t>
        </is>
      </c>
      <c r="AP95" s="2" t="inlineStr">
        <is>
          <t>0</t>
        </is>
      </c>
      <c r="AQ95" s="2" t="inlineStr">
        <is>
          <t>Strikeout</t>
        </is>
      </c>
      <c r="AR95" s="2" t="inlineStr">
        <is>
          <t>Gate 5 — mandatory source</t>
        </is>
      </c>
      <c r="AS95" s="2" t="inlineStr">
        <is>
          <t>NO-BID / CONTROL</t>
        </is>
      </c>
      <c r="AT95" s="2" t="inlineStr">
        <is>
          <t>Moderate — official extract metadata; direct archive review pending</t>
        </is>
      </c>
      <c r="AU95" s="2" t="inlineStr">
        <is>
          <t>Selection role: Target-lane candidate. Solicitation family contains 2 notice version(s): cf2a454e8d2d49ffa1be8b0fefc39a92; d82bb7d8e7c44e88bec47138ec0fa1f5. Representative notice chosen by detail score, not outcome. Historical award mapping did not control selection.</t>
        </is>
      </c>
      <c r="AV95" s="2" t="inlineStr">
        <is>
          <t>65766</t>
        </is>
      </c>
    </row>
    <row r="96">
      <c r="A96" s="2" t="inlineStr">
        <is>
          <t>HOS01-095</t>
        </is>
      </c>
      <c r="B96" s="2" t="inlineStr">
        <is>
          <t>222ab24711b643939b827a50e27ac689</t>
        </is>
      </c>
      <c r="C96" s="2" t="inlineStr">
        <is>
          <t>1202SB23Q7019</t>
        </is>
      </c>
      <c r="D96" s="2" t="inlineStr">
        <is>
          <t>https://sam.gov/workspace/contract/opp/222ab24711b643939b827a50e27ac689/view</t>
        </is>
      </c>
      <c r="E96" s="2" t="inlineStr">
        <is>
          <t>Solicitation</t>
        </is>
      </c>
      <c r="F96" s="2" t="inlineStr">
        <is>
          <t>2023-03-01</t>
        </is>
      </c>
      <c r="G96" s="2" t="inlineStr">
        <is>
          <t>2024-03-07</t>
        </is>
      </c>
      <c r="H96" s="2" t="inlineStr">
        <is>
          <t>AGRICULTURE, DEPARTMENT OF</t>
        </is>
      </c>
      <c r="I96" s="2" t="inlineStr">
        <is>
          <t>FOREST SERVICE</t>
        </is>
      </c>
      <c r="J96" s="2" t="inlineStr">
        <is>
          <t>USDA-FS PPS INCIDENT PROCUREMENT</t>
        </is>
      </c>
      <c r="K96" s="2" t="inlineStr">
        <is>
          <t>VIPR I-BPA for Faller for East Zone (Regions 1, 2, and 4)</t>
        </is>
      </c>
      <c r="L96" s="2" t="inlineStr">
        <is>
          <t>Re-open Solicitation. Vendor responses to the solicitation are due 03/07/2024 17:00 MST. Please access the 'Open Solicitations' tab in the VIPR Vendor application (https://apps.fs.usda.gov/vipr/vendor/) to start your response. The Department of Agriculture (USDA), US Forest Service (USFS), [Note to COs - Choose your Zone: ESB East Zone (Regions 1, 2, 4, 8 and 9) or ESB West Zone (Regions 3, 5, 6 and 10)] requirement for [Note to COs - enter the name of the resource] for use during Local, Regional, and nationwide fire suppression and all-hazard incidents was originally solicited under solicitation number 1202SB23Q7019.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t>
        </is>
      </c>
      <c r="M96" s="2" t="inlineStr">
        <is>
          <t>115310</t>
        </is>
      </c>
      <c r="N96" s="2" t="inlineStr">
        <is>
          <t>F003</t>
        </is>
      </c>
      <c r="O96" s="2" t="inlineStr">
        <is>
          <t>Total Small Business Set-Aside (FAR 19.5)</t>
        </is>
      </c>
      <c r="P96" s="2" t="inlineStr">
        <is>
          <t>Unknown pre-award; historical award retained only as answer key when mapped</t>
        </is>
      </c>
      <c r="Q96" s="2" t="inlineStr">
        <is>
          <t>Excluded or control category</t>
        </is>
      </c>
      <c r="R96" s="2" t="inlineStr">
        <is>
          <t>Office and facility consumables</t>
        </is>
      </c>
      <c r="S96" s="2" t="inlineStr"/>
      <c r="T96" s="2" t="inlineStr">
        <is>
          <t>Archive review required</t>
        </is>
      </c>
      <c r="U96" s="2" t="inlineStr">
        <is>
          <t>Direct notice/resource lookup required</t>
        </is>
      </c>
      <c r="V96" s="2" t="inlineStr">
        <is>
          <t>Yes — 6 notice version(s)</t>
        </is>
      </c>
      <c r="W96" s="2" t="inlineStr">
        <is>
          <t>Unknown — archive retrieval required</t>
        </is>
      </c>
      <c r="X96" s="2" t="inlineStr">
        <is>
          <t>Not yet recovered</t>
        </is>
      </c>
      <c r="Y96" s="2" t="inlineStr"/>
      <c r="Z96" s="2" t="inlineStr"/>
      <c r="AA96" s="2" t="inlineStr"/>
      <c r="AB96" s="2" t="inlineStr"/>
      <c r="AC96" s="2" t="inlineStr">
        <is>
          <t>No parent vehicle indicated at solicitation intake; verify clauses</t>
        </is>
      </c>
      <c r="AD96" s="2" t="inlineStr">
        <is>
          <t>Potentially yes — direct solicitation or combined notice</t>
        </is>
      </c>
      <c r="AE96" s="2" t="inlineStr">
        <is>
          <t>No evidence in metadata; verify solicitation</t>
        </is>
      </c>
      <c r="AF96" s="2" t="inlineStr">
        <is>
          <t>Potentially yes — subject to historical SAM registration and representations</t>
        </is>
      </c>
      <c r="AG96" s="2" t="inlineStr">
        <is>
          <t>No conflict detected in metadata; exact product review required</t>
        </is>
      </c>
      <c r="AH96" s="2" t="inlineStr">
        <is>
          <t>Exact product/NSN review required</t>
        </is>
      </c>
      <c r="AI96" s="2" t="inlineStr">
        <is>
          <t>Rental / lease</t>
        </is>
      </c>
      <c r="AJ96" s="2" t="inlineStr">
        <is>
          <t>Promising metadata; archive requirements review required</t>
        </is>
      </c>
      <c r="AK96" s="2" t="inlineStr">
        <is>
          <t>Unknown — never infer from award amount</t>
        </is>
      </c>
      <c r="AL96" s="2" t="inlineStr">
        <is>
          <t>Not modeled before archive and supplier-pricing gates</t>
        </is>
      </c>
      <c r="AM96" s="2" t="inlineStr">
        <is>
          <t>Unclassified pending requirements and sourcing</t>
        </is>
      </c>
      <c r="AN96" s="2" t="inlineStr">
        <is>
          <t>Not modeled before supplier pricing</t>
        </is>
      </c>
      <c r="AO96" s="2" t="inlineStr">
        <is>
          <t>90</t>
        </is>
      </c>
      <c r="AP96" s="2" t="inlineStr">
        <is>
          <t>0</t>
        </is>
      </c>
      <c r="AQ96" s="2" t="inlineStr">
        <is>
          <t>Strikeout</t>
        </is>
      </c>
      <c r="AR96" s="2" t="inlineStr">
        <is>
          <t>Gate 6 — product/service exclusion</t>
        </is>
      </c>
      <c r="AS96" s="2" t="inlineStr">
        <is>
          <t>NO-BID / CONTROL</t>
        </is>
      </c>
      <c r="AT96" s="2" t="inlineStr">
        <is>
          <t>Moderate — official extract metadata; direct archive review pending</t>
        </is>
      </c>
      <c r="AU96" s="2" t="inlineStr">
        <is>
          <t>Selection role: Target-lane candidate. Solicitation family contains 6 notice version(s): 2aa01f0b7ccb4b38bdce81cca86ea223; 949203276de94628bec8795adbae008c; f7bf3f8fa5fe466788b9c596c9998913; e8910db0ab8143048fafedccd9f29550; 2316a11b88a14422ba31ae32adba4f10; 222ab24711b643939b827a50e27ac689. Representative notice chosen by detail score, not outcome. Historical award mapping did not control selection.</t>
        </is>
      </c>
      <c r="AV96" s="2" t="inlineStr">
        <is>
          <t>67451</t>
        </is>
      </c>
    </row>
    <row r="97">
      <c r="A97" s="2" t="inlineStr">
        <is>
          <t>HOS01-096</t>
        </is>
      </c>
      <c r="B97" s="2" t="inlineStr">
        <is>
          <t>8521ef14de47454cac7f82ecd8bf2825</t>
        </is>
      </c>
      <c r="C97" s="2" t="inlineStr">
        <is>
          <t>SP330023Q0156</t>
        </is>
      </c>
      <c r="D97" s="2" t="inlineStr">
        <is>
          <t>https://sam.gov/workspace/contract/opp/8521ef14de47454cac7f82ecd8bf2825/view</t>
        </is>
      </c>
      <c r="E97" s="2" t="inlineStr">
        <is>
          <t>Combined Synopsis/Solicitation</t>
        </is>
      </c>
      <c r="F97" s="2" t="inlineStr">
        <is>
          <t>2023-07-10</t>
        </is>
      </c>
      <c r="G97" s="2" t="inlineStr">
        <is>
          <t>2024-01-17</t>
        </is>
      </c>
      <c r="H97" s="2" t="inlineStr">
        <is>
          <t>DEPT OF DEFENSE</t>
        </is>
      </c>
      <c r="I97" s="2" t="inlineStr">
        <is>
          <t>DEFENSE LOGISTICS AGENCY</t>
        </is>
      </c>
      <c r="J97" s="2" t="inlineStr">
        <is>
          <t>DLA DISTRIBUTION</t>
        </is>
      </c>
      <c r="K97" s="2" t="inlineStr">
        <is>
          <t>Preventative and Corrective Maintenance on an American-Clyde (Model# 28DE-110-15) rail guided portal crane + Crane Rental Support at DLA Distribution Anniston, Alabama.</t>
        </is>
      </c>
      <c r="L97" s="2" t="inlineStr">
        <is>
          <t>See attachments; Amendment 0009 - extension to 17Jan2024; final extension Amendment 0008 - adding a provision and a clause Amendment 0007 - Q&amp;A, extend to 9Jan2024 Amendment 0006 - new POP to start 10/1/2024; extended to 21November Amendment 0005 - posted 25 more pics and extended deadline to 21September Amendment 0004 - provided information to access the base for the site visit scheduled for 17August Amendment 0003 - adjusted POP by 6 months and moved deadline for offers to 9 September Amendment 0002 - site visit scheduled for 17August; deadline for offers extended to 24 August Amendment 0001 - posted pictures; dated 24 July 2023</t>
        </is>
      </c>
      <c r="M97" s="2" t="inlineStr">
        <is>
          <t>811310</t>
        </is>
      </c>
      <c r="N97" s="2" t="inlineStr">
        <is>
          <t>J039</t>
        </is>
      </c>
      <c r="O97" s="2" t="inlineStr">
        <is>
          <t>Total Small Business Set-Aside (FAR 19.5)</t>
        </is>
      </c>
      <c r="P97" s="2" t="inlineStr">
        <is>
          <t>Unknown pre-award; historical award retained only as answer key when mapped</t>
        </is>
      </c>
      <c r="Q97" s="2" t="inlineStr">
        <is>
          <t>Excluded or control category</t>
        </is>
      </c>
      <c r="R97" s="2" t="inlineStr">
        <is>
          <t>Mixed controls</t>
        </is>
      </c>
      <c r="S97" s="2" t="inlineStr">
        <is>
          <t>Anniston, AL, USA</t>
        </is>
      </c>
      <c r="T97" s="2" t="inlineStr">
        <is>
          <t>Anniston, AL, USA</t>
        </is>
      </c>
      <c r="U97" s="2" t="inlineStr">
        <is>
          <t>Direct notice/resource lookup required</t>
        </is>
      </c>
      <c r="V97" s="2" t="inlineStr">
        <is>
          <t>Yes — 10 notice version(s)</t>
        </is>
      </c>
      <c r="W97" s="2" t="inlineStr">
        <is>
          <t>Unknown — archive retrieval required</t>
        </is>
      </c>
      <c r="X97" s="2" t="inlineStr">
        <is>
          <t>Not yet recovered</t>
        </is>
      </c>
      <c r="Y97" s="2" t="inlineStr"/>
      <c r="Z97" s="2" t="inlineStr"/>
      <c r="AA97" s="2" t="inlineStr"/>
      <c r="AB97" s="2" t="inlineStr"/>
      <c r="AC97" s="2" t="inlineStr">
        <is>
          <t>No parent vehicle indicated at solicitation intake; verify clauses</t>
        </is>
      </c>
      <c r="AD97" s="2" t="inlineStr">
        <is>
          <t>Potentially yes — direct solicitation or combined notice</t>
        </is>
      </c>
      <c r="AE97" s="2" t="inlineStr">
        <is>
          <t>No evidence in metadata; verify solicitation</t>
        </is>
      </c>
      <c r="AF97" s="2" t="inlineStr">
        <is>
          <t>Potentially yes — subject to historical SAM registration and representations</t>
        </is>
      </c>
      <c r="AG97" s="2" t="inlineStr">
        <is>
          <t>No conflict detected in metadata; exact product review required</t>
        </is>
      </c>
      <c r="AH97" s="2" t="inlineStr">
        <is>
          <t>Exact product/NSN review required</t>
        </is>
      </c>
      <c r="AI97" s="2" t="inlineStr">
        <is>
          <t>Rental / lease</t>
        </is>
      </c>
      <c r="AJ97" s="2" t="inlineStr">
        <is>
          <t>Promising metadata; archive requirements review required</t>
        </is>
      </c>
      <c r="AK97" s="2" t="inlineStr">
        <is>
          <t>Unknown — never infer from award amount</t>
        </is>
      </c>
      <c r="AL97" s="2" t="inlineStr">
        <is>
          <t>Not modeled before archive and supplier-pricing gates</t>
        </is>
      </c>
      <c r="AM97" s="2" t="inlineStr">
        <is>
          <t>Unclassified pending requirements and sourcing</t>
        </is>
      </c>
      <c r="AN97" s="2" t="inlineStr">
        <is>
          <t>Not modeled before supplier pricing</t>
        </is>
      </c>
      <c r="AO97" s="2" t="inlineStr">
        <is>
          <t>90</t>
        </is>
      </c>
      <c r="AP97" s="2" t="inlineStr">
        <is>
          <t>0</t>
        </is>
      </c>
      <c r="AQ97" s="2" t="inlineStr">
        <is>
          <t>Strikeout</t>
        </is>
      </c>
      <c r="AR97" s="2" t="inlineStr">
        <is>
          <t>Gate 6 — product/service exclusion</t>
        </is>
      </c>
      <c r="AS97" s="2" t="inlineStr">
        <is>
          <t>NO-BID / CONTROL</t>
        </is>
      </c>
      <c r="AT97" s="2" t="inlineStr">
        <is>
          <t>Moderate — official extract metadata; direct archive review pending</t>
        </is>
      </c>
      <c r="AU97" s="2" t="inlineStr">
        <is>
          <t>Selection role: Mixed control. Solicitation family contains 10 notice version(s): 8baf158e552140a1ae414e14901e6927; 9899f6959de445c8b5e209c9eb845117; 091181d195654416b3d30471769e065a; c111cd411ced42649fd3d9062f107379; 9052de45f73b4de6a96f0ef60e037888; 6b5ebe21f42a44e396ebb91d0ec59c47; 6073a64e56984d4184504f18ff9435c7; 1946f4bb6e9a4d69949892d87af59c5e; 2074058ac4f24c309d413242b6673ff2; 8521ef14de47454cac7f82ecd8bf2825. Representative notice chosen by detail score, not outcome. Historical award mapping did not control selection.</t>
        </is>
      </c>
      <c r="AV97" s="2" t="inlineStr">
        <is>
          <t>67581</t>
        </is>
      </c>
    </row>
    <row r="98">
      <c r="A98" s="2" t="inlineStr">
        <is>
          <t>HOS01-097</t>
        </is>
      </c>
      <c r="B98" s="2" t="inlineStr">
        <is>
          <t>1be935d8099e4bdd9ed6a2fe232d5f9d</t>
        </is>
      </c>
      <c r="C98" s="2" t="inlineStr">
        <is>
          <t>47QTCB24R0009</t>
        </is>
      </c>
      <c r="D98" s="2" t="inlineStr">
        <is>
          <t>https://sam.gov/workspace/contract/opp/1be935d8099e4bdd9ed6a2fe232d5f9d/view</t>
        </is>
      </c>
      <c r="E98" s="2" t="inlineStr">
        <is>
          <t>Solicitation</t>
        </is>
      </c>
      <c r="F98" s="2" t="inlineStr">
        <is>
          <t>2024-06-28</t>
        </is>
      </c>
      <c r="G98" s="2" t="inlineStr">
        <is>
          <t>2024-10-28</t>
        </is>
      </c>
      <c r="H98" s="2" t="inlineStr">
        <is>
          <t>GENERAL SERVICES ADMINISTRATION</t>
        </is>
      </c>
      <c r="I98" s="2" t="inlineStr">
        <is>
          <t>FEDERAL ACQUISITION SERVICE</t>
        </is>
      </c>
      <c r="J98" s="2" t="inlineStr">
        <is>
          <t>GSA/ITS GWACBRANCH A CONT OP QTACA</t>
        </is>
      </c>
      <c r="K98" s="2" t="inlineStr">
        <is>
          <t>Alliant 3 GWAC, Request for Proposal (RFP)</t>
        </is>
      </c>
      <c r="L98" s="2" t="inlineStr">
        <is>
          <t xml:space="preserve">Update 7/16/24: The question submission date for Alliant 3 is changed from July 26, 2024 to August 2, 2024 at 4:00pm ET. Please continue to submit your questions regarding the Alliant 3 solicitation using the Google Form located at https://forms.gle/Y6ExEXmRqNQsmJM97. +++++++++++++++++++++++++++++++++++++++++++++++++++++++++++++++++++++++ Update 7/10/24: Alliant 3 intends to issue a pre-recorded preproposal conference after questions are received (July 26, 2024) from potential offerors. Alliant 3 GWAC, Request for Proposal, 47QTCB24R0009, Amendment 0001 dated 7/10/24 is issued to correct technical issues and update attachments J.P-9, J.P-10, J.P-12, and J.P-13. New versions have been updated with a V.2 in the file name and uploaded to SAM.gov for use in final proposal submission. These versions of the files must be included in the final Proposal Submission. The proposal due date has not been extended as a result of this amendment. +++++++++++++++++++++++++++++++++++++++++++++++++++++++++++++++++++++++ The General Services Administration (GSA) is pleased to release the Alliant 3 Governmentwide Acquisition Contract (GWAC) Request for Proposals (RFP), 47QTCB24R0009. This solicitation is the only source of official information about this procurement. The Alliant 3 RFP consists of the following: Alliant 3 RFP SF33 Contract Attachments J.P-1 A3 Contractor Teaming Arrangement (CTA) Template J.P-2 A3 Primary NAICS Code Relevant Experience Project Template J.P-3 A3 Emerging Technology Relevant Experience Project Template J.P-4 A3 Subcontractor Experience Project Template J.P-5 A3 Small Business Engagement Template J.P-6 A3 Past Performance Rating Template J.P-7 A3 Federal Contract FPDS Crosswalk Sample J.P-8 A3 Price Template J.P-9 A3 Model Individual Subcontracting Plan J.P-10 </t>
        </is>
      </c>
      <c r="M98" s="2" t="inlineStr">
        <is>
          <t>541512</t>
        </is>
      </c>
      <c r="N98" s="2" t="inlineStr">
        <is>
          <t>DA01</t>
        </is>
      </c>
      <c r="O98" s="2" t="inlineStr"/>
      <c r="P98" s="2" t="inlineStr">
        <is>
          <t>Unknown pre-award; historical award retained only as answer key when mapped</t>
        </is>
      </c>
      <c r="Q98" s="2" t="inlineStr">
        <is>
          <t>Excluded or control category</t>
        </is>
      </c>
      <c r="R98" s="2" t="inlineStr">
        <is>
          <t>Office and facility consumables</t>
        </is>
      </c>
      <c r="S98" s="2" t="inlineStr"/>
      <c r="T98" s="2" t="inlineStr">
        <is>
          <t>Archive review required</t>
        </is>
      </c>
      <c r="U98" s="2" t="inlineStr">
        <is>
          <t>Direct notice/resource lookup required</t>
        </is>
      </c>
      <c r="V98" s="2" t="inlineStr">
        <is>
          <t>Yes — 3 notice version(s)</t>
        </is>
      </c>
      <c r="W98" s="2" t="inlineStr">
        <is>
          <t>Unknown — archive retrieval required</t>
        </is>
      </c>
      <c r="X98" s="2" t="inlineStr">
        <is>
          <t>Not yet recovered</t>
        </is>
      </c>
      <c r="Y98" s="2" t="inlineStr"/>
      <c r="Z98" s="2" t="inlineStr"/>
      <c r="AA98" s="2" t="inlineStr"/>
      <c r="AB98" s="2" t="inlineStr"/>
      <c r="AC98" s="2" t="inlineStr">
        <is>
          <t>No parent vehicle indicated at solicitation intake; verify clauses</t>
        </is>
      </c>
      <c r="AD98" s="2" t="inlineStr">
        <is>
          <t>Potentially yes — direct solicitation or combined notice</t>
        </is>
      </c>
      <c r="AE98" s="2" t="inlineStr">
        <is>
          <t>No evidence in metadata; verify solicitation</t>
        </is>
      </c>
      <c r="AF98" s="2" t="inlineStr">
        <is>
          <t>Potentially yes — subject to historical SAM registration and representations</t>
        </is>
      </c>
      <c r="AG98" s="2" t="inlineStr">
        <is>
          <t>No conflict detected in metadata; exact product review required</t>
        </is>
      </c>
      <c r="AH98" s="2" t="inlineStr">
        <is>
          <t>Exact product/NSN review required</t>
        </is>
      </c>
      <c r="AI98" s="2" t="inlineStr">
        <is>
          <t>Rental / lease</t>
        </is>
      </c>
      <c r="AJ98" s="2" t="inlineStr">
        <is>
          <t>Promising metadata; archive requirements review required</t>
        </is>
      </c>
      <c r="AK98" s="2" t="inlineStr">
        <is>
          <t>Unknown — never infer from award amount</t>
        </is>
      </c>
      <c r="AL98" s="2" t="inlineStr">
        <is>
          <t>Not modeled before archive and supplier-pricing gates</t>
        </is>
      </c>
      <c r="AM98" s="2" t="inlineStr">
        <is>
          <t>Unclassified pending requirements and sourcing</t>
        </is>
      </c>
      <c r="AN98" s="2" t="inlineStr">
        <is>
          <t>Not modeled before supplier pricing</t>
        </is>
      </c>
      <c r="AO98" s="2" t="inlineStr">
        <is>
          <t>90</t>
        </is>
      </c>
      <c r="AP98" s="2" t="inlineStr">
        <is>
          <t>0</t>
        </is>
      </c>
      <c r="AQ98" s="2" t="inlineStr">
        <is>
          <t>Strikeout</t>
        </is>
      </c>
      <c r="AR98" s="2" t="inlineStr">
        <is>
          <t>Gate 6 — product/service exclusion</t>
        </is>
      </c>
      <c r="AS98" s="2" t="inlineStr">
        <is>
          <t>NO-BID / CONTROL</t>
        </is>
      </c>
      <c r="AT98" s="2" t="inlineStr">
        <is>
          <t>Moderate — official extract metadata; direct archive review pending</t>
        </is>
      </c>
      <c r="AU98" s="2" t="inlineStr">
        <is>
          <t>Selection role: Target-lane candidate. Solicitation family contains 3 notice version(s): 1a0fe6caac474a54aa63c047a960e99c; 169cebac5e4d4a21a63620afd5d75ca1; 1be935d8099e4bdd9ed6a2fe232d5f9d. Representative notice chosen by detail score, not outcome. Historical award mapping did not control selection.</t>
        </is>
      </c>
      <c r="AV98" s="2" t="inlineStr">
        <is>
          <t>65966</t>
        </is>
      </c>
    </row>
    <row r="99">
      <c r="A99" s="2" t="inlineStr">
        <is>
          <t>HOS01-098</t>
        </is>
      </c>
      <c r="B99" s="2" t="inlineStr">
        <is>
          <t>e90a551f69c2400987b52244cf5f1d2a</t>
        </is>
      </c>
      <c r="C99" s="2" t="inlineStr">
        <is>
          <t>W912P623R0008</t>
        </is>
      </c>
      <c r="D99" s="2" t="inlineStr">
        <is>
          <t>https://sam.gov/workspace/contract/opp/e90a551f69c2400987b52244cf5f1d2a/view</t>
        </is>
      </c>
      <c r="E99" s="2" t="inlineStr">
        <is>
          <t>Combined Synopsis/Solicitation</t>
        </is>
      </c>
      <c r="F99" s="2" t="inlineStr">
        <is>
          <t>2023-02-22</t>
        </is>
      </c>
      <c r="G99" s="2" t="inlineStr">
        <is>
          <t>2023-03-17</t>
        </is>
      </c>
      <c r="H99" s="2" t="inlineStr">
        <is>
          <t>DEPT OF DEFENSE</t>
        </is>
      </c>
      <c r="I99" s="2" t="inlineStr">
        <is>
          <t>DEPT OF THE ARMY</t>
        </is>
      </c>
      <c r="J99" s="2" t="inlineStr">
        <is>
          <t>W072 ENDIST CHICAGO</t>
        </is>
      </c>
      <c r="K99" s="2" t="inlineStr">
        <is>
          <t>FILL STONE, BURNS WATERWAY HARBOR &amp; BREAKWATER STONE, CALUMET, KEWAUNEE, MANITOWOC AND MILWAUKEE HARBORS</t>
        </is>
      </c>
      <c r="L99" s="2" t="inlineStr">
        <is>
          <t>EFFECTIVE MARCH 13, 2023: The government has posted Amendment No. 0003 hereunder this Notice (please refer to the Attachments Section). ************************************************************************************************************************************************** EFFECTIVE MARCH 6, 2023: The government has posted Amendment No. 0002 hereunder this Notice (please refer to the Attachments Section). ************************************************************************************************************************************************** EFFECTIVE MARCH 1, 2023: The government has posted Amendment No. 0001 hereunder this Notice (please refer to the Attachments Section). ************************************************************************************************************************************************** This is a combined Synopsis/Solicitation Notice for commercial items issued pursuant to FAR Subpart 12. Under this notice, the U. S. Army Corps of Engineers, Chicago District (USACE) is issuing a Request for Proposal (RFP) for the acquisition of �FILL STONE, BURNS WATERWAY HARBOR &amp; BREAKWATER STONE, CALUMET, KEWAUNEE, MANITOWOC AND MILWAUKEE HARBORS.� COMPETITION FOR THIS ACQUISITION IS FULL AND OPEN, UNRESTRICTED TO BUSINESS SIZE. AN OFFEROR MUST BE HAVE AN ACTIVE REGISTRATION IN THE SYSTEM FOR AWARD MANAGEMENT WHEN PLACING AN OFFER/PROPOSAL PACKAGE FOR THIS ACQUISITION. REGISTRATION CAN BE COMPLETED FREE OF CHARGE AT www.sam.gov. The applicable Size Standard is North American Industry Classification System (NAICS) Code 327991, with a Small Business size standard of 500 employees. SUBMITTAL DUE DATE AND TIME: The Contractor submittal packages must be received by the USACE - Chicago District Office no later than 3:30 p.m. (Central time) on</t>
        </is>
      </c>
      <c r="M99" s="2" t="inlineStr">
        <is>
          <t>327991</t>
        </is>
      </c>
      <c r="N99" s="2" t="inlineStr">
        <is>
          <t>5610</t>
        </is>
      </c>
      <c r="O99" s="2" t="inlineStr"/>
      <c r="P99" s="2" t="inlineStr">
        <is>
          <t>Unknown pre-award; historical award retained only as answer key when mapped</t>
        </is>
      </c>
      <c r="Q99" s="2" t="inlineStr">
        <is>
          <t>Excluded or control category</t>
        </is>
      </c>
      <c r="R99" s="2" t="inlineStr">
        <is>
          <t>MRO tools and commercial hardware</t>
        </is>
      </c>
      <c r="S99" s="2" t="inlineStr">
        <is>
          <t>USA</t>
        </is>
      </c>
      <c r="T99" s="2" t="inlineStr">
        <is>
          <t>USA</t>
        </is>
      </c>
      <c r="U99" s="2" t="inlineStr">
        <is>
          <t>Direct notice/resource lookup required</t>
        </is>
      </c>
      <c r="V99" s="2" t="inlineStr">
        <is>
          <t>Yes — 4 notice version(s)</t>
        </is>
      </c>
      <c r="W99" s="2" t="inlineStr">
        <is>
          <t>Unknown — archive retrieval required</t>
        </is>
      </c>
      <c r="X99" s="2" t="inlineStr">
        <is>
          <t>Not yet recovered</t>
        </is>
      </c>
      <c r="Y99" s="2" t="inlineStr"/>
      <c r="Z99" s="2" t="inlineStr"/>
      <c r="AA99" s="2" t="inlineStr"/>
      <c r="AB99" s="2" t="inlineStr"/>
      <c r="AC99" s="2" t="inlineStr">
        <is>
          <t>No parent vehicle indicated at solicitation intake; verify clauses</t>
        </is>
      </c>
      <c r="AD99" s="2" t="inlineStr">
        <is>
          <t>Potentially yes — direct solicitation or combined notice</t>
        </is>
      </c>
      <c r="AE99" s="2" t="inlineStr">
        <is>
          <t>No evidence in metadata; verify solicitation</t>
        </is>
      </c>
      <c r="AF99" s="2" t="inlineStr">
        <is>
          <t>Potentially yes — subject to historical SAM registration and representations</t>
        </is>
      </c>
      <c r="AG99" s="2" t="inlineStr">
        <is>
          <t>No conflict detected in metadata; exact product review required</t>
        </is>
      </c>
      <c r="AH99" s="2" t="inlineStr">
        <is>
          <t>Exact product/NSN review required</t>
        </is>
      </c>
      <c r="AI99" s="2" t="inlineStr">
        <is>
          <t>Rental / lease</t>
        </is>
      </c>
      <c r="AJ99" s="2" t="inlineStr">
        <is>
          <t>Promising metadata; archive requirements review required</t>
        </is>
      </c>
      <c r="AK99" s="2" t="inlineStr">
        <is>
          <t>Unknown — never infer from award amount</t>
        </is>
      </c>
      <c r="AL99" s="2" t="inlineStr">
        <is>
          <t>Not modeled before archive and supplier-pricing gates</t>
        </is>
      </c>
      <c r="AM99" s="2" t="inlineStr">
        <is>
          <t>Unclassified pending requirements and sourcing</t>
        </is>
      </c>
      <c r="AN99" s="2" t="inlineStr">
        <is>
          <t>Not modeled before supplier pricing</t>
        </is>
      </c>
      <c r="AO99" s="2" t="inlineStr">
        <is>
          <t>90</t>
        </is>
      </c>
      <c r="AP99" s="2" t="inlineStr">
        <is>
          <t>0</t>
        </is>
      </c>
      <c r="AQ99" s="2" t="inlineStr">
        <is>
          <t>Strikeout</t>
        </is>
      </c>
      <c r="AR99" s="2" t="inlineStr">
        <is>
          <t>Gate 6 — product/service exclusion</t>
        </is>
      </c>
      <c r="AS99" s="2" t="inlineStr">
        <is>
          <t>NO-BID / CONTROL</t>
        </is>
      </c>
      <c r="AT99" s="2" t="inlineStr">
        <is>
          <t>Moderate — official extract metadata; direct archive review pending</t>
        </is>
      </c>
      <c r="AU99" s="2" t="inlineStr">
        <is>
          <t>Selection role: Target-lane candidate. Solicitation family contains 4 notice version(s): bf64317dd305495c97fd2cacd68874fc; 0969708c465c49a19b4fff6b5b4fe6b3; 8850cf41f0f842f9af0c9bc26bdba087; e90a551f69c2400987b52244cf5f1d2a. Representative notice chosen by detail score, not outcome. Historical award mapping did not control selection.</t>
        </is>
      </c>
      <c r="AV99" s="2" t="inlineStr">
        <is>
          <t>69609</t>
        </is>
      </c>
    </row>
    <row r="100">
      <c r="A100" s="2" t="inlineStr">
        <is>
          <t>HOS01-099</t>
        </is>
      </c>
      <c r="B100" s="2" t="inlineStr">
        <is>
          <t>db0b48db16ee4d54abb53d1cbdfaacf9</t>
        </is>
      </c>
      <c r="C100" s="2" t="inlineStr">
        <is>
          <t>1202SB23Q7021</t>
        </is>
      </c>
      <c r="D100" s="2" t="inlineStr">
        <is>
          <t>https://sam.gov/workspace/contract/opp/db0b48db16ee4d54abb53d1cbdfaacf9/view</t>
        </is>
      </c>
      <c r="E100" s="2" t="inlineStr">
        <is>
          <t>Solicitation</t>
        </is>
      </c>
      <c r="F100" s="2" t="inlineStr">
        <is>
          <t>2023-02-21</t>
        </is>
      </c>
      <c r="G100" s="2" t="inlineStr">
        <is>
          <t>2024-03-04</t>
        </is>
      </c>
      <c r="H100" s="2" t="inlineStr">
        <is>
          <t>AGRICULTURE, DEPARTMENT OF</t>
        </is>
      </c>
      <c r="I100" s="2" t="inlineStr">
        <is>
          <t>FOREST SERVICE</t>
        </is>
      </c>
      <c r="J100" s="2" t="inlineStr">
        <is>
          <t>USDA-FS PPS INCIDENT PROCUREMENT</t>
        </is>
      </c>
      <c r="K100" s="2" t="inlineStr">
        <is>
          <t>VIPR I-BPA for Fuel Tender for Regions 1, 2, and 4</t>
        </is>
      </c>
      <c r="L100" s="2" t="inlineStr">
        <is>
          <t>Re-open Solicitation. Vendor responses to the solicitation are due 03/04/2024 17:00 MST. Please access the 'Open Solicitations' tab in the VIPR Vendor application (https://apps.fs.usda.gov/vipr/vendor/) to start your response. The Department of Agriculture (USDA), US Forest Service (USFS), ESB East Zone (Regions 1, 2, and 4) requirement for fuel tenders for use during Local, Regional, and nationwide fire suppression and all-hazard incidents was originally solicited under solicitation number 1202SB23Q7021. This amendment is to re-open this solicitation to conduct an open season Onboarding in accordance with Exhibit H - Special Contract Requirements of the original solicitation. IMPORTANT NOTE: Onboarding is not a new procurement and operates differently than a new solicitation. Onboarding is a result of the provisions established in the original solicitation and is issued as a solicitation amendment to the original solicitation. The terms and conditions of the original solicitation require that 'The award decision under the open season solicitation is based upon the same evaluation factors/sub-factors as the original solicitation.' Additionally, the terms and conditions of the original solicitation require that, 'The terms and conditions of any resulting new IBPA awards are identical to the original awards and solicitation, to include period of performance.' Accordingly, while the Government will entertain suggestions and Industry input regarding the Onboarding amendment, the Government anticipates very little change to result from this input, especially as it regards any potential changes to the evaluation factors or resulting terms and conditions. This amendment for Onboarding is against a Multiple Award Incident Blanket Purchase Agreement (IBPA) solicitation issued as</t>
        </is>
      </c>
      <c r="M100" s="2" t="inlineStr">
        <is>
          <t>324110</t>
        </is>
      </c>
      <c r="N100" s="2" t="inlineStr">
        <is>
          <t>F003</t>
        </is>
      </c>
      <c r="O100" s="2" t="inlineStr">
        <is>
          <t>Total Small Business Set-Aside (FAR 19.5)</t>
        </is>
      </c>
      <c r="P100" s="2" t="inlineStr">
        <is>
          <t>Unknown pre-award; historical award retained only as answer key when mapped</t>
        </is>
      </c>
      <c r="Q100" s="2" t="inlineStr">
        <is>
          <t>Excluded or control category</t>
        </is>
      </c>
      <c r="R100" s="2" t="inlineStr">
        <is>
          <t>Office and facility consumables</t>
        </is>
      </c>
      <c r="S100" s="2" t="inlineStr"/>
      <c r="T100" s="2" t="inlineStr">
        <is>
          <t>Archive review required</t>
        </is>
      </c>
      <c r="U100" s="2" t="inlineStr">
        <is>
          <t>Direct notice/resource lookup required</t>
        </is>
      </c>
      <c r="V100" s="2" t="inlineStr">
        <is>
          <t>Yes — 10 notice version(s)</t>
        </is>
      </c>
      <c r="W100" s="2" t="inlineStr">
        <is>
          <t>Unknown — archive retrieval required</t>
        </is>
      </c>
      <c r="X100" s="2" t="inlineStr">
        <is>
          <t>Not yet recovered</t>
        </is>
      </c>
      <c r="Y100" s="2" t="inlineStr"/>
      <c r="Z100" s="2" t="inlineStr"/>
      <c r="AA100" s="2" t="inlineStr"/>
      <c r="AB100" s="2" t="inlineStr"/>
      <c r="AC100" s="2" t="inlineStr">
        <is>
          <t>No parent vehicle indicated at solicitation intake; verify clauses</t>
        </is>
      </c>
      <c r="AD100" s="2" t="inlineStr">
        <is>
          <t>Potentially yes — direct solicitation or combined notice</t>
        </is>
      </c>
      <c r="AE100" s="2" t="inlineStr">
        <is>
          <t>No evidence in metadata; verify solicitation</t>
        </is>
      </c>
      <c r="AF100" s="2" t="inlineStr">
        <is>
          <t>Potentially yes — subject to historical SAM registration and representations</t>
        </is>
      </c>
      <c r="AG100" s="2" t="inlineStr">
        <is>
          <t>No conflict detected in metadata; exact product review required</t>
        </is>
      </c>
      <c r="AH100" s="2" t="inlineStr">
        <is>
          <t>Exact product/NSN review required</t>
        </is>
      </c>
      <c r="AI100" s="2" t="inlineStr">
        <is>
          <t>Fuel / petroleum</t>
        </is>
      </c>
      <c r="AJ100" s="2" t="inlineStr">
        <is>
          <t>Promising metadata; archive requirements review required</t>
        </is>
      </c>
      <c r="AK100" s="2" t="inlineStr">
        <is>
          <t>Unknown — never infer from award amount</t>
        </is>
      </c>
      <c r="AL100" s="2" t="inlineStr">
        <is>
          <t>Not modeled before archive and supplier-pricing gates</t>
        </is>
      </c>
      <c r="AM100" s="2" t="inlineStr">
        <is>
          <t>Unclassified pending requirements and sourcing</t>
        </is>
      </c>
      <c r="AN100" s="2" t="inlineStr">
        <is>
          <t>Not modeled before supplier pricing</t>
        </is>
      </c>
      <c r="AO100" s="2" t="inlineStr">
        <is>
          <t>90</t>
        </is>
      </c>
      <c r="AP100" s="2" t="inlineStr">
        <is>
          <t>0</t>
        </is>
      </c>
      <c r="AQ100" s="2" t="inlineStr">
        <is>
          <t>Strikeout</t>
        </is>
      </c>
      <c r="AR100" s="2" t="inlineStr">
        <is>
          <t>Gate 6 — product/service exclusion</t>
        </is>
      </c>
      <c r="AS100" s="2" t="inlineStr">
        <is>
          <t>NO-BID / CONTROL</t>
        </is>
      </c>
      <c r="AT100" s="2" t="inlineStr">
        <is>
          <t>Moderate — official extract metadata; direct archive review pending</t>
        </is>
      </c>
      <c r="AU100" s="2" t="inlineStr">
        <is>
          <t>Selection role: Target-lane candidate. Solicitation family contains 10 notice version(s): d0f6736606114f6785f51e2476b9655a; 27d1dac294824317b09df563771b314a; e291a98790e24b44a9e428e052de5a7b; c45449fe9b1f46aaa44ff723a23a3d78; 2146daad5b754f8bab5ad2f85365479e; 07a085f087994840afb27a744a7a97c6; 13ef80d8f9114fb592d1e0fc901a257b; 3e291f0519df45f499e41021d22456a4; e9797cc1eded4a16b90e6010cbe38eac; db0b48db16ee4d54abb53d1cbdfaacf9. Representative notice chosen by detail score, not outcome. Historical award mapping did not control selection.</t>
        </is>
      </c>
      <c r="AV100" s="2" t="inlineStr">
        <is>
          <t>67487</t>
        </is>
      </c>
    </row>
    <row r="101">
      <c r="A101" s="2" t="inlineStr">
        <is>
          <t>HOS01-100</t>
        </is>
      </c>
      <c r="B101" s="2" t="inlineStr">
        <is>
          <t>3074b10e4729407ca46bc579420cf596</t>
        </is>
      </c>
      <c r="C101" s="2" t="inlineStr">
        <is>
          <t>SPE60523R0206</t>
        </is>
      </c>
      <c r="D101" s="2" t="inlineStr">
        <is>
          <t>https://sam.gov/workspace/contract/opp/3074b10e4729407ca46bc579420cf596/view</t>
        </is>
      </c>
      <c r="E101" s="2" t="inlineStr">
        <is>
          <t>Combined Synopsis/Solicitation</t>
        </is>
      </c>
      <c r="F101" s="2" t="inlineStr">
        <is>
          <t>2023-03-30</t>
        </is>
      </c>
      <c r="G101" s="2" t="inlineStr">
        <is>
          <t>2023-05-15</t>
        </is>
      </c>
      <c r="H101" s="2" t="inlineStr">
        <is>
          <t>DEPT OF DEFENSE</t>
        </is>
      </c>
      <c r="I101" s="2" t="inlineStr">
        <is>
          <t>DEFENSE LOGISTICS AGENCY</t>
        </is>
      </c>
      <c r="J101" s="2" t="inlineStr">
        <is>
          <t>DLA ENERGY</t>
        </is>
      </c>
      <c r="K101" s="2" t="inlineStr">
        <is>
          <t>SOLICITATION COG 6 (3.26), CAMPS &amp; STATION</t>
        </is>
      </c>
      <c r="L101" s="2" t="inlineStr">
        <is>
          <t>Station (PC&amp;S) Purchase Program 3.26, COG-6 requirements. The Government intends to procure petroleum fuel products for the requirements listed in this solicitation. The first closing date is 1 May 2023, and is for the 758 Contract Line Items (CLIN) contained in this first closing. Solicitation No. SPE60523R0206 has a performance period from Date of Award through May 31, 2028. This solicitation will be a Total Small Business Set-Aside with approximately 691 of the line items for small businesses and 67 for Service-disabled Veteran-owned Small Businesses (SDVOSBs). Below are the fuel and approximate quantity under this solicitation: QUANTITY FUEL TYPE NSN US GALLONS Fuel Ethanol (E85) (E8) 9130-01-470-2024 3,995,501 Gasoline, Aviation (130LL) 9130-00-179-1122 596,000 Gasoline, Aviation (110LL) Dyed 9130-01-531-4426 130,000 Jet Fuel, Type A (JAA) 9130-00-359-2026 18,587,000 Turbine Fuel Aviation (JA1) 9130-00-753-5026 5,000 Gasoline (MUM) 9130-01-272-0983 1,232,000 Gasoline Reg UNL (MUR) 9130-00-148-7103 63,942,501 Gasoline Prem UNL (MUP) 9130-00-148-7104 196,500 RFG Midgrade UNL (MMR) 9130-01-388-4513 390,000 RFG Reg UNL (MRR) 9130-01-388-4080 1,417,000 Gasoline, Ethanol Free Midgrade 9130-01-686-0488 75,000 Fuel Oil Burner #2 9140-00-546-1786 638,000 Marine Gas Oil (MGO) 9140-01-313-7776 383,500 Red-dyed ULSD #1 (DSW) 9140-01-541-6767 2,291,300 Red-dyed ULSD #2 (DSS) 9140-01-541-6760 7,939,505 Summer ULSD (DS2) (US) 9140-01-524-0139 40,227,250 Winter ULSD (DS1) (UW) 9140-01-524-5174 18,765,250 Biodiesel B20 (BDI) 9140-01-470-4520 386,000 See attached solicitation and attachments for further details.</t>
        </is>
      </c>
      <c r="M101" s="2" t="inlineStr">
        <is>
          <t>324110</t>
        </is>
      </c>
      <c r="N101" s="2" t="inlineStr">
        <is>
          <t>9140</t>
        </is>
      </c>
      <c r="O101" s="2" t="inlineStr">
        <is>
          <t>Total Small Business Set-Aside (FAR 19.5)</t>
        </is>
      </c>
      <c r="P101" s="2" t="inlineStr">
        <is>
          <t>Unknown pre-award; historical award retained only as answer key when mapped</t>
        </is>
      </c>
      <c r="Q101" s="2" t="inlineStr">
        <is>
          <t>Excluded or control category</t>
        </is>
      </c>
      <c r="R101" s="2" t="inlineStr">
        <is>
          <t>Mixed controls</t>
        </is>
      </c>
      <c r="S101" s="2" t="inlineStr">
        <is>
          <t>Fort Belvoir, VA, 22060, USA</t>
        </is>
      </c>
      <c r="T101" s="2" t="inlineStr">
        <is>
          <t>Fort Belvoir, VA, 22060, USA</t>
        </is>
      </c>
      <c r="U101" s="2" t="inlineStr">
        <is>
          <t>Direct notice/resource lookup required</t>
        </is>
      </c>
      <c r="V101" s="2" t="inlineStr">
        <is>
          <t>Yes — 8 notice version(s)</t>
        </is>
      </c>
      <c r="W101" s="2" t="inlineStr">
        <is>
          <t>Unknown — archive retrieval required</t>
        </is>
      </c>
      <c r="X101" s="2" t="inlineStr">
        <is>
          <t>Not yet recovered</t>
        </is>
      </c>
      <c r="Y101" s="2" t="inlineStr"/>
      <c r="Z101" s="2" t="inlineStr"/>
      <c r="AA101" s="2" t="inlineStr"/>
      <c r="AB101" s="2" t="inlineStr"/>
      <c r="AC101" s="2" t="inlineStr">
        <is>
          <t>No parent vehicle indicated at solicitation intake; verify clauses</t>
        </is>
      </c>
      <c r="AD101" s="2" t="inlineStr">
        <is>
          <t>Potentially yes — direct solicitation or combined notice</t>
        </is>
      </c>
      <c r="AE101" s="2" t="inlineStr">
        <is>
          <t>No evidence in metadata; verify solicitation</t>
        </is>
      </c>
      <c r="AF101" s="2" t="inlineStr">
        <is>
          <t>Potentially yes — subject to historical SAM registration and representations</t>
        </is>
      </c>
      <c r="AG101" s="2" t="inlineStr">
        <is>
          <t>No conflict detected in metadata; exact product review required</t>
        </is>
      </c>
      <c r="AH101" s="2" t="inlineStr">
        <is>
          <t>Exact product/NSN review required</t>
        </is>
      </c>
      <c r="AI101" s="2" t="inlineStr">
        <is>
          <t>Restricted NSN / approved-source / defense-platform risk</t>
        </is>
      </c>
      <c r="AJ101" s="2" t="inlineStr">
        <is>
          <t>Promising metadata; archive requirements review required</t>
        </is>
      </c>
      <c r="AK101" s="2" t="inlineStr">
        <is>
          <t>Unknown — never infer from award amount</t>
        </is>
      </c>
      <c r="AL101" s="2" t="inlineStr">
        <is>
          <t>Not modeled before archive and supplier-pricing gates</t>
        </is>
      </c>
      <c r="AM101" s="2" t="inlineStr">
        <is>
          <t>Unclassified pending requirements and sourcing</t>
        </is>
      </c>
      <c r="AN101" s="2" t="inlineStr">
        <is>
          <t>Not modeled before supplier pricing</t>
        </is>
      </c>
      <c r="AO101" s="2" t="inlineStr">
        <is>
          <t>90</t>
        </is>
      </c>
      <c r="AP101" s="2" t="inlineStr">
        <is>
          <t>0</t>
        </is>
      </c>
      <c r="AQ101" s="2" t="inlineStr">
        <is>
          <t>Strikeout</t>
        </is>
      </c>
      <c r="AR101" s="2" t="inlineStr">
        <is>
          <t>Gate 6 — product/service exclusion</t>
        </is>
      </c>
      <c r="AS101" s="2" t="inlineStr">
        <is>
          <t>NO-BID / CONTROL</t>
        </is>
      </c>
      <c r="AT101" s="2" t="inlineStr">
        <is>
          <t>Moderate — official extract metadata; direct archive review pending</t>
        </is>
      </c>
      <c r="AU101" s="2" t="inlineStr">
        <is>
          <t>Selection role: Mixed control. Solicitation family contains 8 notice version(s): df55b9773f384d988346c82c28d6df6c; 87a0fd1898544746aa7232321506f021; 44bb8d9ada6a46878cfcbf6e80fb6c54; 3a2caec096d94a9ca3b76d45fcb36ed1; 762ed3e6ec594915af79672debc683e9; 50aff700a37845dd9fc38eb53ed7e7e2; 35dc5fe01458479e9174de57e82ba684; 3074b10e4729407ca46bc579420cf596. Representative notice chosen by detail score, not outcome. Historical award mapping did not control selection.</t>
        </is>
      </c>
      <c r="AV101" s="2" t="inlineStr">
        <is>
          <t>69028</t>
        </is>
      </c>
    </row>
  </sheetData>
  <autoFilter ref="A1:AV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48" customWidth="1" min="1" max="1"/>
    <col width="15" customWidth="1" min="2" max="2"/>
    <col width="70" customWidth="1" min="3" max="3"/>
  </cols>
  <sheetData>
    <row r="1">
      <c r="A1" s="3" t="inlineStr">
        <is>
          <t>Stage / Metric</t>
        </is>
      </c>
      <c r="B1" s="3" t="inlineStr">
        <is>
          <t>Count</t>
        </is>
      </c>
      <c r="C1" s="3" t="inlineStr">
        <is>
          <t>Interpretation</t>
        </is>
      </c>
    </row>
    <row r="2">
      <c r="A2" t="inlineStr">
        <is>
          <t>Official SAM full extract rows</t>
        </is>
      </c>
      <c r="B2" t="n">
        <v>78811</v>
      </c>
      <c r="C2" t="inlineStr">
        <is>
          <t>Source population at retrieval</t>
        </is>
      </c>
    </row>
    <row r="3">
      <c r="A3" t="inlineStr">
        <is>
          <t>Posted during 2023-2024</t>
        </is>
      </c>
      <c r="B3" t="n">
        <v>5739</v>
      </c>
      <c r="C3" t="inlineStr">
        <is>
          <t>Primary historical period</t>
        </is>
      </c>
    </row>
    <row r="4">
      <c r="A4" t="inlineStr">
        <is>
          <t>Actual Solicitation or Combined notice</t>
        </is>
      </c>
      <c r="B4" t="n">
        <v>1505</v>
      </c>
      <c r="C4" t="inlineStr">
        <is>
          <t>Notice-type gate</t>
        </is>
      </c>
    </row>
    <row r="5">
      <c r="A5" t="inlineStr">
        <is>
          <t>Response deadline no later than 2024-12-31</t>
        </is>
      </c>
      <c r="B5" t="n">
        <v>1024</v>
      </c>
      <c r="C5" t="inlineStr">
        <is>
          <t>Closed historical solicitation universe</t>
        </is>
      </c>
    </row>
    <row r="6">
      <c r="A6" t="inlineStr">
        <is>
          <t>Distinct solicitation families</t>
        </is>
      </c>
      <c r="B6" t="n">
        <v>246</v>
      </c>
      <c r="C6" t="inlineStr">
        <is>
          <t>Amendments and notice versions collapsed</t>
        </is>
      </c>
    </row>
    <row r="7">
      <c r="A7" t="inlineStr">
        <is>
          <t>Balanced intake selected</t>
        </is>
      </c>
      <c r="B7" t="n">
        <v>100</v>
      </c>
      <c r="C7" t="inlineStr">
        <is>
          <t>Selection independent of award outcome</t>
        </is>
      </c>
    </row>
    <row r="8">
      <c r="A8" t="inlineStr">
        <is>
          <t>Pass Gates 1-6 preliminarily</t>
        </is>
      </c>
      <c r="B8" t="n">
        <v>42</v>
      </c>
      <c r="C8" t="inlineStr">
        <is>
          <t>Advance to archive/attachment review</t>
        </is>
      </c>
    </row>
    <row r="9">
      <c r="A9" t="inlineStr">
        <is>
          <t>Killed at Gate 4 — GGG eligibility</t>
        </is>
      </c>
      <c r="B9" t="n">
        <v>6</v>
      </c>
      <c r="C9" t="inlineStr">
        <is>
          <t>Set-aside or eligibility mismatch</t>
        </is>
      </c>
    </row>
    <row r="10">
      <c r="A10" t="inlineStr">
        <is>
          <t>Killed at Gate 5 — mandatory source</t>
        </is>
      </c>
      <c r="B10" t="n">
        <v>9</v>
      </c>
      <c r="C10" t="inlineStr">
        <is>
          <t>AbilityOne/FPI/mandatory-channel signal</t>
        </is>
      </c>
    </row>
    <row r="11">
      <c r="A11" t="inlineStr">
        <is>
          <t>Killed at Gate 6 — product/service exclusion</t>
        </is>
      </c>
      <c r="B11" t="n">
        <v>43</v>
      </c>
      <c r="C11" t="inlineStr">
        <is>
          <t>Current kickoff exclusions</t>
        </is>
      </c>
    </row>
    <row r="12">
      <c r="A12" t="inlineStr">
        <is>
          <t>Award outcomes already mapped</t>
        </is>
      </c>
      <c r="B12" t="n">
        <v>19</v>
      </c>
      <c r="C12" t="inlineStr">
        <is>
          <t>Outcome answer key recovered without driving selection</t>
        </is>
      </c>
    </row>
    <row r="13">
      <c r="A13" t="inlineStr">
        <is>
          <t>Pass 1 outcome-conditioned review count</t>
        </is>
      </c>
      <c r="B13" t="n">
        <v>2</v>
      </c>
      <c r="C13" t="inlineStr">
        <is>
          <t>Rejected sampling design</t>
        </is>
      </c>
    </row>
    <row r="14">
      <c r="A14" t="inlineStr">
        <is>
          <t>Pass 1 outcome-conditioned rejection count</t>
        </is>
      </c>
      <c r="B14" t="n">
        <v>98</v>
      </c>
      <c r="C14" t="inlineStr">
        <is>
          <t>88/100 DoD; amendment duplication and outcome bias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8" customWidth="1" min="1" max="1"/>
    <col width="18" customWidth="1" min="2" max="2"/>
    <col width="12" customWidth="1" min="3" max="3"/>
    <col width="22" customWidth="1" min="4" max="4"/>
  </cols>
  <sheetData>
    <row r="1">
      <c r="A1" s="3" t="inlineStr">
        <is>
          <t>Supply Track</t>
        </is>
      </c>
      <c r="B1" s="3" t="inlineStr">
        <is>
          <t>Selected Count</t>
        </is>
      </c>
      <c r="C1" s="3" t="inlineStr">
        <is>
          <t>Target</t>
        </is>
      </c>
      <c r="D1" s="3" t="inlineStr">
        <is>
          <t>Shortage Before Fill</t>
        </is>
      </c>
    </row>
    <row r="2">
      <c r="A2" t="inlineStr">
        <is>
          <t>Office and facility consumables</t>
        </is>
      </c>
      <c r="B2" t="n">
        <v>47</v>
      </c>
      <c r="C2" t="n">
        <v>40</v>
      </c>
      <c r="D2" t="n">
        <v>19</v>
      </c>
    </row>
    <row r="3">
      <c r="A3" t="inlineStr">
        <is>
          <t>MRO tools and commercial hardware</t>
        </is>
      </c>
      <c r="B3" t="n">
        <v>24</v>
      </c>
      <c r="C3" t="n">
        <v>30</v>
      </c>
      <c r="D3" t="n">
        <v>26</v>
      </c>
    </row>
    <row r="4">
      <c r="A4" t="inlineStr">
        <is>
          <t>Packaging, shipping, storage and containers</t>
        </is>
      </c>
      <c r="B4" t="n">
        <v>4</v>
      </c>
      <c r="C4" t="n">
        <v>15</v>
      </c>
      <c r="D4" t="n">
        <v>13</v>
      </c>
    </row>
    <row r="5">
      <c r="A5" t="inlineStr">
        <is>
          <t>Basic IT accessories and standard equipment</t>
        </is>
      </c>
      <c r="B5" t="n">
        <v>9</v>
      </c>
      <c r="C5" t="n">
        <v>10</v>
      </c>
      <c r="D5" t="n">
        <v>1</v>
      </c>
    </row>
    <row r="6">
      <c r="A6" t="inlineStr">
        <is>
          <t>Mixed controls</t>
        </is>
      </c>
      <c r="B6" t="n">
        <v>16</v>
      </c>
      <c r="C6" t="n">
        <v>5</v>
      </c>
      <c r="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4" customWidth="1" min="1" max="1"/>
    <col width="12" customWidth="1" min="2" max="2"/>
  </cols>
  <sheetData>
    <row r="1">
      <c r="A1" s="3" t="inlineStr">
        <is>
          <t>Preliminary Call</t>
        </is>
      </c>
      <c r="B1" s="3" t="inlineStr">
        <is>
          <t>Count</t>
        </is>
      </c>
    </row>
    <row r="2">
      <c r="A2" t="inlineStr">
        <is>
          <t>Home Run</t>
        </is>
      </c>
      <c r="B2" t="n">
        <v>19</v>
      </c>
    </row>
    <row r="3">
      <c r="A3" t="inlineStr">
        <is>
          <t>Triple</t>
        </is>
      </c>
      <c r="B3" t="n">
        <v>12</v>
      </c>
    </row>
    <row r="4">
      <c r="A4" t="inlineStr">
        <is>
          <t>Double</t>
        </is>
      </c>
      <c r="B4" t="n">
        <v>10</v>
      </c>
    </row>
    <row r="5">
      <c r="A5" t="inlineStr">
        <is>
          <t>Single</t>
        </is>
      </c>
      <c r="B5" t="n">
        <v>1</v>
      </c>
    </row>
    <row r="6">
      <c r="A6" t="inlineStr">
        <is>
          <t>Strikeout</t>
        </is>
      </c>
      <c r="B6"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c r="A1" s="3" t="inlineStr">
        <is>
          <t>Field</t>
        </is>
      </c>
      <c r="B1" s="3" t="inlineStr">
        <is>
          <t>Purpose / Rule</t>
        </is>
      </c>
    </row>
    <row r="2">
      <c r="A2" t="inlineStr">
        <is>
          <t>Intake ID</t>
        </is>
      </c>
      <c r="B2" t="inlineStr">
        <is>
          <t>Intake or analysis field defined by Historical Open Solicitation Test 01 instructions.</t>
        </is>
      </c>
    </row>
    <row r="3">
      <c r="A3" t="inlineStr">
        <is>
          <t>Notice ID</t>
        </is>
      </c>
      <c r="B3" t="inlineStr">
        <is>
          <t>Intake or analysis field defined by Historical Open Solicitation Test 01 instructions.</t>
        </is>
      </c>
    </row>
    <row r="4">
      <c r="A4" t="inlineStr">
        <is>
          <t>Solicitation Number</t>
        </is>
      </c>
      <c r="B4" t="inlineStr">
        <is>
          <t>Intake or analysis field defined by Historical Open Solicitation Test 01 instructions.</t>
        </is>
      </c>
    </row>
    <row r="5">
      <c r="A5" t="inlineStr">
        <is>
          <t>Historical Source URL</t>
        </is>
      </c>
      <c r="B5" t="inlineStr">
        <is>
          <t>Original/representative SAM notice; never a downstream spending transaction alone.</t>
        </is>
      </c>
    </row>
    <row r="6">
      <c r="A6" t="inlineStr">
        <is>
          <t>Notice Type</t>
        </is>
      </c>
      <c r="B6" t="inlineStr">
        <is>
          <t>Intake or analysis field defined by Historical Open Solicitation Test 01 instructions.</t>
        </is>
      </c>
    </row>
    <row r="7">
      <c r="A7" t="inlineStr">
        <is>
          <t>Posted Date</t>
        </is>
      </c>
      <c r="B7" t="inlineStr">
        <is>
          <t>Intake or analysis field defined by Historical Open Solicitation Test 01 instructions.</t>
        </is>
      </c>
    </row>
    <row r="8">
      <c r="A8" t="inlineStr">
        <is>
          <t>Original Response Deadline</t>
        </is>
      </c>
      <c r="B8" t="inlineStr">
        <is>
          <t>Intake or analysis field defined by Historical Open Solicitation Test 01 instructions.</t>
        </is>
      </c>
    </row>
    <row r="9">
      <c r="A9" t="inlineStr">
        <is>
          <t>Agency</t>
        </is>
      </c>
      <c r="B9" t="inlineStr">
        <is>
          <t>Intake or analysis field defined by Historical Open Solicitation Test 01 instructions.</t>
        </is>
      </c>
    </row>
    <row r="10">
      <c r="A10" t="inlineStr">
        <is>
          <t>Subagency</t>
        </is>
      </c>
      <c r="B10" t="inlineStr">
        <is>
          <t>Intake or analysis field defined by Historical Open Solicitation Test 01 instructions.</t>
        </is>
      </c>
    </row>
    <row r="11">
      <c r="A11" t="inlineStr">
        <is>
          <t>Contracting Office</t>
        </is>
      </c>
      <c r="B11" t="inlineStr">
        <is>
          <t>Intake or analysis field defined by Historical Open Solicitation Test 01 instructions.</t>
        </is>
      </c>
    </row>
    <row r="12">
      <c r="A12" t="inlineStr">
        <is>
          <t>Title</t>
        </is>
      </c>
      <c r="B12" t="inlineStr">
        <is>
          <t>Intake or analysis field defined by Historical Open Solicitation Test 01 instructions.</t>
        </is>
      </c>
    </row>
    <row r="13">
      <c r="A13" t="inlineStr">
        <is>
          <t>Description</t>
        </is>
      </c>
      <c r="B13" t="inlineStr">
        <is>
          <t>Intake or analysis field defined by Historical Open Solicitation Test 01 instructions.</t>
        </is>
      </c>
    </row>
    <row r="14">
      <c r="A14" t="inlineStr">
        <is>
          <t>NAICS</t>
        </is>
      </c>
      <c r="B14" t="inlineStr">
        <is>
          <t>Intake or analysis field defined by Historical Open Solicitation Test 01 instructions.</t>
        </is>
      </c>
    </row>
    <row r="15">
      <c r="A15" t="inlineStr">
        <is>
          <t>PSC</t>
        </is>
      </c>
      <c r="B15" t="inlineStr">
        <is>
          <t>Intake or analysis field defined by Historical Open Solicitation Test 01 instructions.</t>
        </is>
      </c>
    </row>
    <row r="16">
      <c r="A16" t="inlineStr">
        <is>
          <t>Set-Aside Type</t>
        </is>
      </c>
      <c r="B16" t="inlineStr">
        <is>
          <t>Intake or analysis field defined by Historical Open Solicitation Test 01 instructions.</t>
        </is>
      </c>
    </row>
    <row r="17">
      <c r="A17" t="inlineStr">
        <is>
          <t>Estimated Value</t>
        </is>
      </c>
      <c r="B17" t="inlineStr">
        <is>
          <t>Intake or analysis field defined by Historical Open Solicitation Test 01 instructions.</t>
        </is>
      </c>
    </row>
    <row r="18">
      <c r="A18" t="inlineStr">
        <is>
          <t>Product or Service</t>
        </is>
      </c>
      <c r="B18" t="inlineStr">
        <is>
          <t>Intake or analysis field defined by Historical Open Solicitation Test 01 instructions.</t>
        </is>
      </c>
    </row>
    <row r="19">
      <c r="A19" t="inlineStr">
        <is>
          <t>Supply Track</t>
        </is>
      </c>
      <c r="B19" t="inlineStr">
        <is>
          <t>Intake or analysis field defined by Historical Open Solicitation Test 01 instructions.</t>
        </is>
      </c>
    </row>
    <row r="20">
      <c r="A20" t="inlineStr">
        <is>
          <t>Place of Performance</t>
        </is>
      </c>
      <c r="B20" t="inlineStr">
        <is>
          <t>Intake or analysis field defined by Historical Open Solicitation Test 01 instructions.</t>
        </is>
      </c>
    </row>
    <row r="21">
      <c r="A21" t="inlineStr">
        <is>
          <t>Delivery Destination</t>
        </is>
      </c>
      <c r="B21" t="inlineStr">
        <is>
          <t>Intake or analysis field defined by Historical Open Solicitation Test 01 instructions.</t>
        </is>
      </c>
    </row>
    <row r="22">
      <c r="A22" t="inlineStr">
        <is>
          <t>Attachments Available</t>
        </is>
      </c>
      <c r="B22" t="inlineStr">
        <is>
          <t>Intake or analysis field defined by Historical Open Solicitation Test 01 instructions.</t>
        </is>
      </c>
    </row>
    <row r="23">
      <c r="A23" t="inlineStr">
        <is>
          <t>Amendments Available</t>
        </is>
      </c>
      <c r="B23" t="inlineStr">
        <is>
          <t>Intake or analysis field defined by Historical Open Solicitation Test 01 instructions.</t>
        </is>
      </c>
    </row>
    <row r="24">
      <c r="A24" t="inlineStr">
        <is>
          <t>Q&amp;A Available</t>
        </is>
      </c>
      <c r="B24" t="inlineStr">
        <is>
          <t>Intake or analysis field defined by Historical Open Solicitation Test 01 instructions.</t>
        </is>
      </c>
    </row>
    <row r="25">
      <c r="A25" t="inlineStr">
        <is>
          <t>Award Outcome Available</t>
        </is>
      </c>
      <c r="B25" t="inlineStr">
        <is>
          <t>Intake or analysis field defined by Historical Open Solicitation Test 01 instructions.</t>
        </is>
      </c>
    </row>
    <row r="26">
      <c r="A26" t="inlineStr">
        <is>
          <t>Award Notice URL</t>
        </is>
      </c>
      <c r="B26" t="inlineStr">
        <is>
          <t>Intake or analysis field defined by Historical Open Solicitation Test 01 instructions.</t>
        </is>
      </c>
    </row>
    <row r="27">
      <c r="A27" t="inlineStr">
        <is>
          <t>Awardee</t>
        </is>
      </c>
      <c r="B27" t="inlineStr">
        <is>
          <t>Intake or analysis field defined by Historical Open Solicitation Test 01 instructions.</t>
        </is>
      </c>
    </row>
    <row r="28">
      <c r="A28" t="inlineStr">
        <is>
          <t>Award Amount</t>
        </is>
      </c>
      <c r="B28" t="inlineStr">
        <is>
          <t>Answer key only; not available cash and not proof of payment method or margin.</t>
        </is>
      </c>
    </row>
    <row r="29">
      <c r="A29" t="inlineStr">
        <is>
          <t>Award Type</t>
        </is>
      </c>
      <c r="B29" t="inlineStr">
        <is>
          <t>Intake or analysis field defined by Historical Open Solicitation Test 01 instructions.</t>
        </is>
      </c>
    </row>
    <row r="30">
      <c r="A30" t="inlineStr">
        <is>
          <t>Parent Award ID</t>
        </is>
      </c>
      <c r="B30" t="inlineStr">
        <is>
          <t>Intake or analysis field defined by Historical Open Solicitation Test 01 instructions.</t>
        </is>
      </c>
    </row>
    <row r="31">
      <c r="A31" t="inlineStr">
        <is>
          <t>Open Competitive Path</t>
        </is>
      </c>
      <c r="B31" t="inlineStr">
        <is>
          <t>Must permit a new bidder without an existing parent BPA, IDIQ, schedule, or contract.</t>
        </is>
      </c>
    </row>
    <row r="32">
      <c r="A32" t="inlineStr">
        <is>
          <t>Parent Vehicle Required</t>
        </is>
      </c>
      <c r="B32" t="inlineStr">
        <is>
          <t>Intake or analysis field defined by Historical Open Solicitation Test 01 instructions.</t>
        </is>
      </c>
    </row>
    <row r="33">
      <c r="A33" t="inlineStr">
        <is>
          <t>Could GGG Compete At Time</t>
        </is>
      </c>
      <c r="B33" t="inlineStr">
        <is>
          <t>Historical eligibility test using actual GGG launch capabilities; no invented certifications.</t>
        </is>
      </c>
    </row>
    <row r="34">
      <c r="A34" t="inlineStr">
        <is>
          <t>Mandatory-Source Status</t>
        </is>
      </c>
      <c r="B34" t="inlineStr">
        <is>
          <t>AbilityOne, FPI, required schedule/channel, brand or approved-source gate.</t>
        </is>
      </c>
    </row>
    <row r="35">
      <c r="A35" t="inlineStr">
        <is>
          <t>AbilityOne Status</t>
        </is>
      </c>
      <c r="B35" t="inlineStr">
        <is>
          <t>Intake or analysis field defined by Historical Open Solicitation Test 01 instructions.</t>
        </is>
      </c>
    </row>
    <row r="36">
      <c r="A36" t="inlineStr">
        <is>
          <t>Product-Exclusion Result</t>
        </is>
      </c>
      <c r="B36" t="inlineStr">
        <is>
          <t>Intake or analysis field defined by Historical Open Solicitation Test 01 instructions.</t>
        </is>
      </c>
    </row>
    <row r="37">
      <c r="A37" t="inlineStr">
        <is>
          <t>Requirement Completeness</t>
        </is>
      </c>
      <c r="B37" t="inlineStr">
        <is>
          <t>Gate 7 remains pending until solicitation and attachments are reviewed.</t>
        </is>
      </c>
    </row>
    <row r="38">
      <c r="A38" t="inlineStr">
        <is>
          <t>Payment-Method Evidence</t>
        </is>
      </c>
      <c r="B38" t="inlineStr">
        <is>
          <t>Unknown unless supported by the historical solicitation/award; never inferred from amount.</t>
        </is>
      </c>
    </row>
    <row r="39">
      <c r="A39" t="inlineStr">
        <is>
          <t>Preliminary Supplier Exposure</t>
        </is>
      </c>
      <c r="B39" t="inlineStr">
        <is>
          <t>Not modeled until requirements pass and public supplier evidence exists.</t>
        </is>
      </c>
    </row>
    <row r="40">
      <c r="A40" t="inlineStr">
        <is>
          <t>Exposure Classification</t>
        </is>
      </c>
      <c r="B40" t="inlineStr">
        <is>
          <t>Intake or analysis field defined by Historical Open Solicitation Test 01 instructions.</t>
        </is>
      </c>
    </row>
    <row r="41">
      <c r="A41" t="inlineStr">
        <is>
          <t>Preliminary Probable Net</t>
        </is>
      </c>
      <c r="B41" t="inlineStr">
        <is>
          <t>Intake or analysis field defined by Historical Open Solicitation Test 01 instructions.</t>
        </is>
      </c>
    </row>
    <row r="42">
      <c r="A42" t="inlineStr">
        <is>
          <t>Preliminary Accessibility Score</t>
        </is>
      </c>
      <c r="B42" t="inlineStr">
        <is>
          <t>Intake or analysis field defined by Historical Open Solicitation Test 01 instructions.</t>
        </is>
      </c>
    </row>
    <row r="43">
      <c r="A43" t="inlineStr">
        <is>
          <t>Preliminary Kickoff Fit Score</t>
        </is>
      </c>
      <c r="B43" t="inlineStr">
        <is>
          <t>Intake or analysis field defined by Historical Open Solicitation Test 01 instructions.</t>
        </is>
      </c>
    </row>
    <row r="44">
      <c r="A44" t="inlineStr">
        <is>
          <t>Preliminary Baseball Call</t>
        </is>
      </c>
      <c r="B44" t="inlineStr">
        <is>
          <t>Frozen only after final-20 selection and before outcome reconstruction.</t>
        </is>
      </c>
    </row>
    <row r="45">
      <c r="A45" t="inlineStr">
        <is>
          <t>Primary Failure Point</t>
        </is>
      </c>
      <c r="B45" t="inlineStr">
        <is>
          <t>Intake or analysis field defined by Historical Open Solicitation Test 01 instructions.</t>
        </is>
      </c>
    </row>
    <row r="46">
      <c r="A46" t="inlineStr">
        <is>
          <t>Intake Decision</t>
        </is>
      </c>
      <c r="B46" t="inlineStr">
        <is>
          <t>Intake or analysis field defined by Historical Open Solicitation Test 01 instructions.</t>
        </is>
      </c>
    </row>
    <row r="47">
      <c r="A47" t="inlineStr">
        <is>
          <t>Confidence</t>
        </is>
      </c>
      <c r="B47" t="inlineStr">
        <is>
          <t>Intake or analysis field defined by Historical Open Solicitation Test 01 instructions.</t>
        </is>
      </c>
    </row>
    <row r="48">
      <c r="A48" t="inlineStr">
        <is>
          <t>Notes</t>
        </is>
      </c>
      <c r="B48" t="inlineStr">
        <is>
          <t>Intake or analysis field defined by Historical Open Solicitation Test 01 instructions.</t>
        </is>
      </c>
    </row>
    <row r="49">
      <c r="A49" t="inlineStr">
        <is>
          <t>Source Extract Row</t>
        </is>
      </c>
      <c r="B49" t="inlineStr">
        <is>
          <t>Audit pointer to the official SAM full CSV extract used for intake.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10" customWidth="1" min="2" max="2"/>
  </cols>
  <sheetData>
    <row r="1">
      <c r="A1" s="3" t="inlineStr">
        <is>
          <t>Item</t>
        </is>
      </c>
      <c r="B1" s="3" t="inlineStr">
        <is>
          <t>Value</t>
        </is>
      </c>
    </row>
    <row r="2">
      <c r="A2" t="inlineStr">
        <is>
          <t>Test</t>
        </is>
      </c>
      <c r="B2" t="inlineStr">
        <is>
          <t>Green Gregory Group — Historical Open Solicitation Test 01</t>
        </is>
      </c>
    </row>
    <row r="3">
      <c r="A3" t="inlineStr">
        <is>
          <t>Official source</t>
        </is>
      </c>
      <c r="B3" t="inlineStr">
        <is>
          <t>SAM.gov Contract Opportunities Full CSV extract</t>
        </is>
      </c>
    </row>
    <row r="4">
      <c r="A4" t="inlineStr">
        <is>
          <t>Primary period</t>
        </is>
      </c>
      <c r="B4" t="inlineStr">
        <is>
          <t>Posted 2023-01-01 through 2024-12-31; response deadline no later than 2024-12-31</t>
        </is>
      </c>
    </row>
    <row r="5">
      <c r="A5" t="inlineStr">
        <is>
          <t>Selection unit</t>
        </is>
      </c>
      <c r="B5" t="inlineStr">
        <is>
          <t>Distinct solicitation family; amendments and notice versions collapsed</t>
        </is>
      </c>
    </row>
    <row r="6">
      <c r="A6" t="inlineStr">
        <is>
          <t>Selection independence</t>
        </is>
      </c>
      <c r="B6" t="inlineStr">
        <is>
          <t>Award availability did not control sample selection</t>
        </is>
      </c>
    </row>
    <row r="7">
      <c r="A7" t="inlineStr">
        <is>
          <t>Sampling correction</t>
        </is>
      </c>
      <c r="B7" t="inlineStr">
        <is>
          <t>The embedded-award-only pass was rejected after producing 98/100 rejects and 88/100 DoD concentration</t>
        </is>
      </c>
    </row>
    <row r="8">
      <c r="A8" t="inlineStr">
        <is>
          <t>Current status</t>
        </is>
      </c>
      <c r="B8" t="inlineStr">
        <is>
          <t>100-row intake complete; 42 records require archive/attachment review before final-20 selection</t>
        </is>
      </c>
    </row>
    <row r="9">
      <c r="A9" t="inlineStr">
        <is>
          <t>Security</t>
        </is>
      </c>
      <c r="B9" t="inlineStr">
        <is>
          <t>No API keys, card data, bank data, nonpublic supplier data, or restricted information stored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2026-07-16T16:55:49Z</dcterms:created>
  <dcterms:modified xsi:type="dcterms:W3CDTF">2026-07-16T16:55:49Z</dcterms:modified>
</cp:coreProperties>
</file>